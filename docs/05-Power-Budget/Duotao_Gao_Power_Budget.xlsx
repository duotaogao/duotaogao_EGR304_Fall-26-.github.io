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100" windowHeight="1608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F8" authorId="0">
      <text>
        <r>
          <rPr>
            <sz val="10"/>
            <rFont val="宋体"/>
            <charset val="134"/>
          </rPr>
          <t>For inductive loads (e.g., motors, solenoids) this is often called "stall current" on the data sheet</t>
        </r>
      </text>
    </comment>
  </commentList>
</comments>
</file>

<file path=xl/sharedStrings.xml><?xml version="1.0" encoding="utf-8"?>
<sst xmlns="http://schemas.openxmlformats.org/spreadsheetml/2006/main" count="220" uniqueCount="92">
  <si>
    <t>Power Budget: User Interface Board</t>
  </si>
  <si>
    <t>Team Number:</t>
  </si>
  <si>
    <t>103</t>
  </si>
  <si>
    <t>Project Name:</t>
  </si>
  <si>
    <t>GripRx</t>
  </si>
  <si>
    <t>Team Member Names:</t>
  </si>
  <si>
    <t>Duotao Gao, Gabriel Toneser Facchin, Zice Sun</t>
  </si>
  <si>
    <t>Version:</t>
  </si>
  <si>
    <t>1 (Duotao Gao, 2026-10-23)</t>
  </si>
  <si>
    <t>A. List all major powered components, excluding power sources, regulators and passive elements.</t>
  </si>
  <si>
    <t>All Major Components</t>
  </si>
  <si>
    <t>Component Name</t>
  </si>
  <si>
    <t>Part Number</t>
  </si>
  <si>
    <t>Supply
Voltage
Range</t>
  </si>
  <si>
    <t>#</t>
  </si>
  <si>
    <t>Maximum
Current
(mA)</t>
  </si>
  <si>
    <t>Total
Current
(mA)</t>
  </si>
  <si>
    <t>Unit</t>
  </si>
  <si>
    <t>PIC18F57Q43 Curiosity Nano (MCU board)</t>
  </si>
  <si>
    <t>DM164150</t>
  </si>
  <si>
    <t>1.8 - 5.5 V</t>
  </si>
  <si>
    <t>mA</t>
  </si>
  <si>
    <t>Character LCD + backlight</t>
  </si>
  <si>
    <t>NHD-0216K1Z-FSW-FBW-L</t>
  </si>
  <si>
    <t>4.5 - 5.5 V</t>
  </si>
  <si>
    <t>Quad op amp + speaker drive</t>
  </si>
  <si>
    <t>MCP6004-I/P</t>
  </si>
  <si>
    <t>1.8 - 6.0 V</t>
  </si>
  <si>
    <t>B. Assign each major component above to ONE power rail below. Try to minimize the number of different power rails in the design. 
Add additional power rails or change the power rail voltages if needed.</t>
  </si>
  <si>
    <t xml:space="preserve"> +12V Power Rail (not used)</t>
  </si>
  <si>
    <t>None on this board</t>
  </si>
  <si>
    <t>—</t>
  </si>
  <si>
    <t xml:space="preserve">Subtotal </t>
  </si>
  <si>
    <t>Safety Margin</t>
  </si>
  <si>
    <t>Total Current Required on +12V Rail</t>
  </si>
  <si>
    <t>c1. Regulator or Source Choice</t>
  </si>
  <si>
    <t>Not used (no +12 V loads)</t>
  </si>
  <si>
    <t>Total Remaining Current Available on +12V Rail</t>
  </si>
  <si>
    <t xml:space="preserve"> +5V Power Rail</t>
  </si>
  <si>
    <t>Other small circuit loads</t>
  </si>
  <si>
    <t>LEDs, buttons, pots, bias</t>
  </si>
  <si>
    <t>5 V budget</t>
  </si>
  <si>
    <t>No other +5 V loads</t>
  </si>
  <si>
    <t>-</t>
  </si>
  <si>
    <t>Total Current Required on +5V Rail</t>
  </si>
  <si>
    <t>c2. Regulator or Source Choice</t>
  </si>
  <si>
    <t xml:space="preserve"> +5V linear regulator</t>
  </si>
  <si>
    <t>L7805ABV-DG</t>
  </si>
  <si>
    <t>7.5 - 18 V</t>
  </si>
  <si>
    <t>Total Remaining Current Available on +5V Rail</t>
  </si>
  <si>
    <t>-5V Power Rail (not used)</t>
  </si>
  <si>
    <t>None: all op amps are single-supply</t>
  </si>
  <si>
    <t>Total Current Required on -5V Rail</t>
  </si>
  <si>
    <t>c3. Regulator or Source Choice</t>
  </si>
  <si>
    <t>Not used (no negative rail)</t>
  </si>
  <si>
    <t>Total Remaining Current Available on -5V Rail</t>
  </si>
  <si>
    <t xml:space="preserve"> +3.3V Power Rail (not used)</t>
  </si>
  <si>
    <t>Total Current Required on +3.3V Rail</t>
  </si>
  <si>
    <t>c4. Regulator or Source Choice</t>
  </si>
  <si>
    <t>Not used (no +3.3 V loads)</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</si>
  <si>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</si>
  <si>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</si>
  <si>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</si>
  <si>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</si>
  <si>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</si>
  <si>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Absolute
Maximum
Current (mA)</t>
  </si>
  <si>
    <t>Power Source 1 Selection</t>
  </si>
  <si>
    <t>9 V 3 A plug-in wall adapter, issued in class</t>
  </si>
  <si>
    <t>BestCH 9 V 3 A (B09ZTKTLGW)</t>
  </si>
  <si>
    <t>See adapter label</t>
  </si>
  <si>
    <t>Power Rails Connected to External Power Source 1</t>
  </si>
  <si>
    <t>Regulator ground-current allowance</t>
  </si>
  <si>
    <t>9 V input</t>
  </si>
  <si>
    <t>+3.3V regulator (not used)</t>
  </si>
  <si>
    <t>Total Remaining Current Available on External Power Source 1</t>
  </si>
  <si>
    <t>External Power Source 2 (not used)</t>
  </si>
  <si>
    <t>Power Source 2 Selection</t>
  </si>
  <si>
    <t>Not used (single 9 V adapter)</t>
  </si>
  <si>
    <t>Power Rails Connected to External Power Source 2</t>
  </si>
  <si>
    <t>-5V regulator (not used)</t>
  </si>
  <si>
    <t>Total Remaining Current Available on External Power Source 2</t>
  </si>
  <si>
    <t>E. Calculate Battery Life (if applicable).  For each battery, also check the worst-case lifetime of the battery by indicating the capacity in mAh.</t>
  </si>
  <si>
    <t>Capacity
(mAh)</t>
  </si>
  <si>
    <t>Required
By
Regulators</t>
  </si>
  <si>
    <t>No battery (wall-powered board)</t>
  </si>
  <si>
    <t>N/A</t>
  </si>
  <si>
    <t>Battery Life</t>
  </si>
  <si>
    <t>Notes</t>
  </si>
  <si>
    <t>All UI loads use +5 V. The +12 V, -5 V and +3.3 V rails and second source are not used. The board is wall-powered.</t>
  </si>
  <si>
    <t>Current basis: Nano 350 mA uses the MCU VDD-pin absolute rating (DS40002147D) as the budget limit, not normal board draw. MCP6004 uses the 30 mA output/supply-pin absolute rating (DS20001733L, p. 3). These are stress ratings, not normal operating currents. LCD 23 mA = 3 mA logic + 20 mA backlight maximum. Auxiliary loads total 13.25 mA. Speaker current is supplied by MCP6004 and is not added again.</t>
  </si>
  <si>
    <t>Audio: U3A drives the speaker through C14 (220 uF) and R16 (330 ohm). A 2.5 V excursion / 330 ohm gives about 7.6 mA; a full 5 V excursion gives 15.2 mA. The 30 mA supply-pin rating is counted once for the chip, not four times for its four amplifiers. Confirm actual current and volume during testing.</t>
  </si>
  <si>
    <t>Budget load = 416.25 mA. Including 25% margin = 520.31 mA. Estimated regulator dissipation is about 2.14 W at 9 V input, including a 6 mA ground-current allowance. Provide a suitable heatsink and verify regulator temperature; the 1.5 A rating requires adequate cooling.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</si>
</sst>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quot; V&quot;"/>
  </numFmts>
  <fonts count="30">
    <font>
      <sz val="12"/>
      <color rgb="FF000000"/>
      <name val="Calibri"/>
      <charset val="134"/>
    </font>
    <font>
      <b/>
      <sz val="24"/>
      <color rgb="FF000000"/>
      <name val="Calibri"/>
      <charset val="134"/>
    </font>
    <font>
      <b/>
      <sz val="12"/>
      <color rgb="FF000000"/>
      <name val="Calibri"/>
      <charset val="134"/>
    </font>
    <font>
      <sz val="12"/>
      <name val="Calibri"/>
      <charset val="134"/>
    </font>
    <font>
      <b/>
      <sz val="12"/>
      <color rgb="FF000000"/>
      <name val="Arial"/>
      <charset val="134"/>
    </font>
    <font>
      <b/>
      <i/>
      <sz val="12"/>
      <color rgb="FF000000"/>
      <name val="Arial"/>
      <charset val="134"/>
    </font>
    <font>
      <sz val="12"/>
      <color rgb="FF000000"/>
      <name val="Arial"/>
      <charset val="134"/>
    </font>
    <font>
      <b/>
      <i/>
      <sz val="12"/>
      <color rgb="FF000000"/>
      <name val="Calibri"/>
      <charset val="134"/>
    </font>
    <font>
      <sz val="12"/>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6">
    <fill>
      <patternFill patternType="none"/>
    </fill>
    <fill>
      <patternFill patternType="gray125"/>
    </fill>
    <fill>
      <patternFill patternType="solid">
        <fgColor rgb="FFFFFF00"/>
        <bgColor indexed="64"/>
      </patternFill>
    </fill>
    <fill>
      <patternFill patternType="solid">
        <fgColor rgb="FFEEECE1"/>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1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4" applyNumberFormat="0" applyFill="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7" fillId="0" borderId="0" applyNumberFormat="0" applyFill="0" applyBorder="0" applyAlignment="0" applyProtection="0">
      <alignment vertical="center"/>
    </xf>
    <xf numFmtId="0" fontId="18" fillId="6" borderId="16" applyNumberFormat="0" applyAlignment="0" applyProtection="0">
      <alignment vertical="center"/>
    </xf>
    <xf numFmtId="0" fontId="19" fillId="7" borderId="17" applyNumberFormat="0" applyAlignment="0" applyProtection="0">
      <alignment vertical="center"/>
    </xf>
    <xf numFmtId="0" fontId="20" fillId="7" borderId="16" applyNumberFormat="0" applyAlignment="0" applyProtection="0">
      <alignment vertical="center"/>
    </xf>
    <xf numFmtId="0" fontId="21" fillId="8" borderId="18" applyNumberFormat="0" applyAlignment="0" applyProtection="0">
      <alignment vertical="center"/>
    </xf>
    <xf numFmtId="0" fontId="22" fillId="0" borderId="19" applyNumberFormat="0" applyFill="0" applyAlignment="0" applyProtection="0">
      <alignment vertical="center"/>
    </xf>
    <xf numFmtId="0" fontId="23" fillId="0" borderId="20"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0" fillId="0" borderId="0"/>
  </cellStyleXfs>
  <cellXfs count="116">
    <xf numFmtId="0" fontId="0" fillId="0" borderId="0" xfId="49" applyAlignment="1"/>
    <xf numFmtId="0" fontId="0" fillId="0" borderId="0" xfId="49"/>
    <xf numFmtId="0" fontId="1" fillId="0" borderId="0" xfId="49" applyFont="1" applyAlignment="1">
      <alignment horizontal="center"/>
    </xf>
    <xf numFmtId="0" fontId="2" fillId="0" borderId="1" xfId="49" applyFont="1" applyBorder="1"/>
    <xf numFmtId="0" fontId="3" fillId="0" borderId="1" xfId="49" applyFont="1" applyBorder="1"/>
    <xf numFmtId="0" fontId="0" fillId="0" borderId="2" xfId="49" applyBorder="1"/>
    <xf numFmtId="0" fontId="0" fillId="0" borderId="3" xfId="49" applyBorder="1"/>
    <xf numFmtId="0" fontId="4" fillId="0" borderId="1" xfId="49" applyFont="1" applyBorder="1"/>
    <xf numFmtId="0" fontId="2" fillId="0" borderId="0" xfId="49" applyFont="1"/>
    <xf numFmtId="0" fontId="4" fillId="0" borderId="0" xfId="49" applyFont="1"/>
    <xf numFmtId="0" fontId="2" fillId="0" borderId="0" xfId="49" applyFont="1" applyAlignment="1">
      <alignment horizontal="center"/>
    </xf>
    <xf numFmtId="0" fontId="5" fillId="2" borderId="1" xfId="49" applyFont="1" applyFill="1" applyBorder="1" applyAlignment="1">
      <alignment vertical="center" wrapText="1"/>
    </xf>
    <xf numFmtId="0" fontId="4" fillId="3" borderId="4" xfId="49" applyFont="1" applyFill="1" applyBorder="1" applyAlignment="1">
      <alignment horizontal="center" vertical="center" wrapText="1"/>
    </xf>
    <xf numFmtId="0" fontId="2" fillId="3" borderId="2" xfId="49" applyFont="1" applyFill="1" applyBorder="1" applyAlignment="1">
      <alignment horizontal="center" vertical="center" wrapText="1"/>
    </xf>
    <xf numFmtId="0" fontId="4" fillId="3" borderId="2" xfId="49" applyFont="1" applyFill="1" applyBorder="1" applyAlignment="1">
      <alignment horizontal="center" vertical="center" wrapText="1"/>
    </xf>
    <xf numFmtId="0" fontId="4" fillId="3" borderId="5" xfId="49" applyFont="1" applyFill="1" applyBorder="1" applyAlignment="1">
      <alignment horizontal="center" vertical="center" wrapText="1"/>
    </xf>
    <xf numFmtId="0" fontId="0" fillId="0" borderId="6" xfId="49" applyBorder="1"/>
    <xf numFmtId="0" fontId="0" fillId="0" borderId="0" xfId="49" applyNumberFormat="1" applyFont="1" applyFill="1" applyBorder="1" applyAlignment="1">
      <alignment vertical="center" wrapText="1"/>
    </xf>
    <xf numFmtId="0" fontId="6" fillId="0" borderId="0" xfId="49" applyNumberFormat="1" applyFont="1" applyFill="1" applyBorder="1" applyAlignment="1">
      <alignment horizontal="center" vertical="center" wrapText="1"/>
    </xf>
    <xf numFmtId="0" fontId="0" fillId="0" borderId="0" xfId="49" applyNumberFormat="1" applyFont="1" applyFill="1" applyBorder="1" applyAlignment="1">
      <alignment horizontal="center" vertical="center" wrapText="1"/>
    </xf>
    <xf numFmtId="176" fontId="0" fillId="0" borderId="0" xfId="49" applyNumberFormat="1" applyFont="1" applyFill="1" applyBorder="1" applyAlignment="1">
      <alignment vertical="center" wrapText="1"/>
    </xf>
    <xf numFmtId="176" fontId="0" fillId="0" borderId="7" xfId="49" applyNumberFormat="1" applyFont="1" applyFill="1" applyBorder="1" applyAlignment="1">
      <alignment vertical="center" wrapText="1"/>
    </xf>
    <xf numFmtId="0" fontId="6" fillId="0" borderId="7" xfId="49" applyNumberFormat="1" applyFont="1" applyFill="1" applyBorder="1" applyAlignment="1">
      <alignment vertical="center" wrapText="1"/>
    </xf>
    <xf numFmtId="0" fontId="6" fillId="0" borderId="0" xfId="49" applyAlignment="1">
      <alignment vertical="center" wrapText="1"/>
    </xf>
    <xf numFmtId="49" fontId="6" fillId="0" borderId="0" xfId="49" applyNumberFormat="1" applyAlignment="1">
      <alignment horizontal="center" vertical="center" wrapText="1"/>
    </xf>
    <xf numFmtId="0" fontId="6" fillId="0" borderId="0" xfId="49" applyAlignment="1">
      <alignment horizontal="center" vertical="center" wrapText="1"/>
    </xf>
    <xf numFmtId="176" fontId="6" fillId="0" borderId="0" xfId="49" applyNumberFormat="1" applyFont="1" applyFill="1" applyBorder="1" applyAlignment="1">
      <alignment vertical="center" wrapText="1"/>
    </xf>
    <xf numFmtId="0" fontId="6" fillId="0" borderId="7" xfId="49" applyBorder="1" applyAlignment="1">
      <alignment vertical="center" wrapText="1"/>
    </xf>
    <xf numFmtId="0" fontId="0" fillId="0" borderId="0" xfId="49" applyAlignment="1">
      <alignment vertical="center" wrapText="1"/>
    </xf>
    <xf numFmtId="0" fontId="0" fillId="0" borderId="0" xfId="49" applyAlignment="1">
      <alignment horizontal="center" vertical="center" wrapText="1"/>
    </xf>
    <xf numFmtId="0" fontId="2" fillId="0" borderId="6" xfId="49" applyFont="1" applyBorder="1"/>
    <xf numFmtId="0" fontId="4" fillId="0" borderId="0" xfId="49" applyFont="1" applyAlignment="1">
      <alignment horizontal="center"/>
    </xf>
    <xf numFmtId="176" fontId="2" fillId="0" borderId="0" xfId="49" applyNumberFormat="1" applyFont="1" applyFill="1" applyBorder="1"/>
    <xf numFmtId="176" fontId="2" fillId="0" borderId="7" xfId="49" applyNumberFormat="1" applyFont="1" applyFill="1" applyBorder="1"/>
    <xf numFmtId="0" fontId="2" fillId="0" borderId="7" xfId="49" applyFont="1" applyBorder="1"/>
    <xf numFmtId="176" fontId="0" fillId="0" borderId="2" xfId="49" applyNumberFormat="1" applyFont="1" applyFill="1" applyBorder="1"/>
    <xf numFmtId="0" fontId="5" fillId="3" borderId="4" xfId="49" applyFont="1" applyFill="1" applyBorder="1" applyAlignment="1">
      <alignment horizontal="center" vertical="center" wrapText="1"/>
    </xf>
    <xf numFmtId="176" fontId="4" fillId="3" borderId="2" xfId="49" applyNumberFormat="1" applyFont="1" applyFill="1" applyBorder="1" applyAlignment="1">
      <alignment horizontal="center" vertical="center" wrapText="1"/>
    </xf>
    <xf numFmtId="176" fontId="4" fillId="3" borderId="5" xfId="49" applyNumberFormat="1" applyFont="1" applyFill="1" applyBorder="1" applyAlignment="1">
      <alignment horizontal="center" vertical="center" wrapText="1"/>
    </xf>
    <xf numFmtId="0" fontId="6" fillId="0" borderId="0" xfId="49" applyAlignment="1">
      <alignment horizontal="center"/>
    </xf>
    <xf numFmtId="0" fontId="0" fillId="0" borderId="0" xfId="49" applyAlignment="1">
      <alignment horizontal="center"/>
    </xf>
    <xf numFmtId="176" fontId="0" fillId="0" borderId="0" xfId="49" applyNumberFormat="1" applyFont="1" applyFill="1" applyBorder="1" applyAlignment="1"/>
    <xf numFmtId="176" fontId="0" fillId="0" borderId="7" xfId="49" applyNumberFormat="1" applyFont="1" applyFill="1" applyBorder="1"/>
    <xf numFmtId="0" fontId="6" fillId="0" borderId="7" xfId="49" applyBorder="1"/>
    <xf numFmtId="176" fontId="0" fillId="0" borderId="0" xfId="49" applyNumberFormat="1" applyFont="1" applyFill="1" applyBorder="1"/>
    <xf numFmtId="0" fontId="7" fillId="0" borderId="0" xfId="49" applyFont="1" applyAlignment="1">
      <alignment horizontal="right"/>
    </xf>
    <xf numFmtId="9" fontId="0" fillId="0" borderId="7" xfId="49" applyNumberFormat="1" applyFont="1" applyFill="1" applyBorder="1"/>
    <xf numFmtId="9" fontId="0" fillId="0" borderId="7" xfId="49" applyNumberFormat="1" applyBorder="1"/>
    <xf numFmtId="0" fontId="7" fillId="0" borderId="6" xfId="49" applyFont="1" applyBorder="1"/>
    <xf numFmtId="0" fontId="5" fillId="0" borderId="0" xfId="49" applyFont="1" applyAlignment="1">
      <alignment horizontal="right"/>
    </xf>
    <xf numFmtId="0" fontId="5" fillId="0" borderId="6" xfId="49" applyFont="1" applyBorder="1" applyAlignment="1">
      <alignment horizontal="left"/>
    </xf>
    <xf numFmtId="0" fontId="6" fillId="0" borderId="0" xfId="49" applyAlignment="1">
      <alignment horizontal="left"/>
    </xf>
    <xf numFmtId="176" fontId="6" fillId="0" borderId="0" xfId="49" applyNumberFormat="1" applyFont="1" applyFill="1" applyBorder="1" applyAlignment="1">
      <alignment horizontal="right"/>
    </xf>
    <xf numFmtId="176" fontId="0" fillId="0" borderId="7" xfId="49" applyNumberFormat="1" applyFont="1" applyFill="1" applyBorder="1" applyAlignment="1">
      <alignment horizontal="right"/>
    </xf>
    <xf numFmtId="0" fontId="0" fillId="0" borderId="7" xfId="49" applyBorder="1"/>
    <xf numFmtId="0" fontId="5" fillId="0" borderId="6" xfId="49" applyFont="1" applyBorder="1" applyAlignment="1">
      <alignment horizontal="left" vertical="center" wrapText="1"/>
    </xf>
    <xf numFmtId="0" fontId="5" fillId="0" borderId="8" xfId="49" applyFont="1" applyBorder="1" applyAlignment="1">
      <alignment horizontal="left"/>
    </xf>
    <xf numFmtId="49" fontId="5" fillId="0" borderId="9" xfId="49" applyNumberFormat="1" applyFont="1" applyBorder="1" applyAlignment="1">
      <alignment horizontal="right"/>
    </xf>
    <xf numFmtId="0" fontId="0" fillId="0" borderId="9" xfId="49" applyBorder="1"/>
    <xf numFmtId="176" fontId="0" fillId="0" borderId="9" xfId="49" applyNumberFormat="1" applyFont="1" applyFill="1" applyBorder="1"/>
    <xf numFmtId="176" fontId="4" fillId="3" borderId="1" xfId="49" applyNumberFormat="1" applyFont="1" applyFill="1" applyBorder="1" applyAlignment="1">
      <alignment horizontal="center" vertical="center" wrapText="1"/>
    </xf>
    <xf numFmtId="0" fontId="4" fillId="3" borderId="1" xfId="49" applyFont="1" applyFill="1" applyBorder="1" applyAlignment="1">
      <alignment horizontal="center" vertical="center" wrapText="1"/>
    </xf>
    <xf numFmtId="0" fontId="6" fillId="0" borderId="0" xfId="49" applyNumberFormat="1" applyFont="1" applyFill="1" applyBorder="1" applyAlignment="1">
      <alignment vertical="center" wrapText="1"/>
    </xf>
    <xf numFmtId="0" fontId="6" fillId="0" borderId="0" xfId="49" applyAlignment="1">
      <alignment horizontal="left" vertical="center" wrapText="1"/>
    </xf>
    <xf numFmtId="176" fontId="6" fillId="0" borderId="0" xfId="49" applyNumberFormat="1" applyFont="1" applyFill="1" applyBorder="1" applyAlignment="1">
      <alignment horizontal="right" vertical="center" wrapText="1"/>
    </xf>
    <xf numFmtId="176" fontId="0" fillId="0" borderId="7" xfId="49" applyNumberFormat="1" applyFont="1" applyFill="1" applyBorder="1" applyAlignment="1">
      <alignment horizontal="right" vertical="center" wrapText="1"/>
    </xf>
    <xf numFmtId="176" fontId="6" fillId="0" borderId="7" xfId="49" applyNumberFormat="1" applyFont="1" applyFill="1" applyBorder="1" applyAlignment="1">
      <alignment vertical="center" wrapText="1"/>
    </xf>
    <xf numFmtId="0" fontId="6" fillId="0" borderId="0" xfId="49"/>
    <xf numFmtId="49" fontId="5" fillId="0" borderId="0" xfId="49" applyNumberFormat="1" applyFont="1" applyAlignment="1">
      <alignment horizontal="right"/>
    </xf>
    <xf numFmtId="0" fontId="5" fillId="0" borderId="6" xfId="49" applyFont="1" applyBorder="1" applyAlignment="1">
      <alignment wrapText="1"/>
    </xf>
    <xf numFmtId="0" fontId="5" fillId="0" borderId="0" xfId="49" applyFont="1" applyAlignment="1">
      <alignment wrapText="1"/>
    </xf>
    <xf numFmtId="176" fontId="5" fillId="0" borderId="0" xfId="49" applyNumberFormat="1" applyFont="1" applyFill="1" applyBorder="1" applyAlignment="1">
      <alignment wrapText="1"/>
    </xf>
    <xf numFmtId="176" fontId="5" fillId="0" borderId="6" xfId="49" applyNumberFormat="1" applyFont="1" applyFill="1" applyBorder="1"/>
    <xf numFmtId="0" fontId="5" fillId="0" borderId="7" xfId="49" applyFont="1" applyBorder="1"/>
    <xf numFmtId="0" fontId="5" fillId="0" borderId="5" xfId="49" applyFont="1" applyBorder="1" applyAlignment="1">
      <alignment wrapText="1"/>
    </xf>
    <xf numFmtId="0" fontId="0" fillId="0" borderId="10" xfId="49" applyBorder="1"/>
    <xf numFmtId="0" fontId="4" fillId="0" borderId="6" xfId="49" applyFont="1" applyBorder="1" applyAlignment="1">
      <alignment horizontal="left"/>
    </xf>
    <xf numFmtId="0" fontId="6" fillId="0" borderId="0" xfId="49" applyNumberFormat="1" applyFont="1" applyFill="1" applyBorder="1" applyAlignment="1">
      <alignment horizontal="left" vertical="center" wrapText="1"/>
    </xf>
    <xf numFmtId="177" fontId="6" fillId="0" borderId="0" xfId="49" applyNumberFormat="1" applyFont="1" applyFill="1" applyBorder="1" applyAlignment="1">
      <alignment horizontal="center" vertical="center" wrapText="1"/>
    </xf>
    <xf numFmtId="176" fontId="6" fillId="0" borderId="7" xfId="49" applyNumberFormat="1" applyFont="1" applyFill="1" applyBorder="1" applyAlignment="1">
      <alignment horizontal="right" vertical="center" wrapText="1"/>
    </xf>
    <xf numFmtId="0" fontId="6" fillId="0" borderId="11" xfId="49" applyNumberFormat="1" applyFont="1" applyFill="1" applyBorder="1" applyAlignment="1">
      <alignment horizontal="left" vertical="center" wrapText="1"/>
    </xf>
    <xf numFmtId="0" fontId="4" fillId="0" borderId="6" xfId="49" applyFont="1" applyBorder="1" applyAlignment="1">
      <alignment horizontal="center"/>
    </xf>
    <xf numFmtId="0" fontId="6" fillId="0" borderId="11" xfId="49" applyBorder="1"/>
    <xf numFmtId="0" fontId="4" fillId="0" borderId="6" xfId="49" applyFont="1" applyBorder="1" applyAlignment="1">
      <alignment horizontal="left" vertical="center" wrapText="1"/>
    </xf>
    <xf numFmtId="0" fontId="6" fillId="0" borderId="0" xfId="49" applyNumberFormat="1" applyFont="1" applyFill="1" applyBorder="1" applyAlignment="1">
      <alignment horizontal="left" wrapText="1"/>
    </xf>
    <xf numFmtId="0" fontId="6" fillId="0" borderId="0" xfId="49" applyNumberFormat="1" applyFont="1" applyFill="1" applyBorder="1" applyAlignment="1">
      <alignment horizontal="center" wrapText="1"/>
    </xf>
    <xf numFmtId="176" fontId="6" fillId="0" borderId="0" xfId="49" applyNumberFormat="1" applyFont="1" applyFill="1" applyBorder="1" applyAlignment="1">
      <alignment horizontal="right" wrapText="1"/>
    </xf>
    <xf numFmtId="176" fontId="0" fillId="0" borderId="7" xfId="49" applyNumberFormat="1" applyFont="1" applyFill="1" applyBorder="1" applyAlignment="1">
      <alignment horizontal="right" wrapText="1"/>
    </xf>
    <xf numFmtId="0" fontId="6" fillId="0" borderId="7" xfId="49" applyNumberFormat="1" applyFont="1" applyFill="1" applyBorder="1" applyAlignment="1">
      <alignment wrapText="1"/>
    </xf>
    <xf numFmtId="0" fontId="6" fillId="0" borderId="0" xfId="49" applyNumberFormat="1" applyFont="1" applyFill="1" applyBorder="1" applyAlignment="1">
      <alignment wrapText="1"/>
    </xf>
    <xf numFmtId="0" fontId="0" fillId="0" borderId="0" xfId="49" applyNumberFormat="1" applyFont="1" applyFill="1" applyBorder="1" applyAlignment="1">
      <alignment wrapText="1"/>
    </xf>
    <xf numFmtId="0" fontId="0" fillId="0" borderId="0" xfId="49" applyNumberFormat="1" applyFont="1" applyFill="1" applyBorder="1" applyAlignment="1">
      <alignment horizontal="center" wrapText="1"/>
    </xf>
    <xf numFmtId="176" fontId="0" fillId="0" borderId="0" xfId="49" applyNumberFormat="1" applyFont="1" applyFill="1" applyBorder="1" applyAlignment="1">
      <alignment wrapText="1"/>
    </xf>
    <xf numFmtId="176" fontId="0" fillId="0" borderId="7" xfId="49" applyNumberFormat="1" applyFont="1" applyFill="1" applyBorder="1" applyAlignment="1">
      <alignment wrapText="1"/>
    </xf>
    <xf numFmtId="176" fontId="6" fillId="0" borderId="7" xfId="49" applyNumberFormat="1" applyFont="1" applyFill="1" applyBorder="1" applyAlignment="1">
      <alignment horizontal="right"/>
    </xf>
    <xf numFmtId="0" fontId="6" fillId="0" borderId="11" xfId="49" applyBorder="1" applyAlignment="1">
      <alignment horizontal="left"/>
    </xf>
    <xf numFmtId="176" fontId="4" fillId="0" borderId="0" xfId="49" applyNumberFormat="1" applyFont="1" applyFill="1" applyBorder="1" applyAlignment="1">
      <alignment horizontal="center"/>
    </xf>
    <xf numFmtId="176" fontId="4" fillId="0" borderId="7" xfId="49" applyNumberFormat="1" applyFont="1" applyFill="1" applyBorder="1" applyAlignment="1">
      <alignment horizontal="center"/>
    </xf>
    <xf numFmtId="0" fontId="4" fillId="0" borderId="11" xfId="49" applyFont="1" applyBorder="1" applyAlignment="1">
      <alignment horizontal="center"/>
    </xf>
    <xf numFmtId="0" fontId="8" fillId="0" borderId="0" xfId="49" applyFont="1"/>
    <xf numFmtId="176" fontId="6" fillId="0" borderId="0" xfId="49" applyNumberFormat="1" applyFont="1" applyFill="1" applyBorder="1"/>
    <xf numFmtId="0" fontId="0" fillId="0" borderId="7" xfId="49" applyBorder="1" applyAlignment="1">
      <alignment horizontal="center"/>
    </xf>
    <xf numFmtId="0" fontId="5" fillId="2" borderId="4" xfId="49" applyFont="1" applyFill="1" applyBorder="1" applyAlignment="1">
      <alignment vertical="center" wrapText="1"/>
    </xf>
    <xf numFmtId="176" fontId="7" fillId="2" borderId="1" xfId="49" applyNumberFormat="1" applyFont="1" applyFill="1" applyBorder="1"/>
    <xf numFmtId="0" fontId="7" fillId="2" borderId="1" xfId="49" applyFont="1" applyFill="1" applyBorder="1"/>
    <xf numFmtId="0" fontId="2" fillId="3" borderId="6" xfId="49" applyFont="1" applyFill="1" applyBorder="1" applyAlignment="1">
      <alignment horizontal="center" vertical="center" wrapText="1"/>
    </xf>
    <xf numFmtId="0" fontId="2" fillId="3" borderId="0" xfId="49" applyFont="1" applyFill="1" applyAlignment="1">
      <alignment horizontal="center" vertical="center" wrapText="1"/>
    </xf>
    <xf numFmtId="0" fontId="4" fillId="3" borderId="12" xfId="49" applyFont="1" applyFill="1" applyBorder="1" applyAlignment="1">
      <alignment horizontal="center" vertical="center" wrapText="1"/>
    </xf>
    <xf numFmtId="176" fontId="4" fillId="3" borderId="12" xfId="49" applyNumberFormat="1" applyFont="1" applyFill="1" applyBorder="1" applyAlignment="1">
      <alignment horizontal="center" vertical="center" wrapText="1"/>
    </xf>
    <xf numFmtId="176" fontId="4" fillId="3" borderId="7" xfId="49" applyNumberFormat="1" applyFont="1" applyFill="1" applyBorder="1" applyAlignment="1">
      <alignment horizontal="center" vertical="center" wrapText="1"/>
    </xf>
    <xf numFmtId="0" fontId="2" fillId="3" borderId="7" xfId="49" applyFont="1" applyFill="1" applyBorder="1" applyAlignment="1">
      <alignment horizontal="center" vertical="center" wrapText="1"/>
    </xf>
    <xf numFmtId="176" fontId="7" fillId="0" borderId="0" xfId="49" applyNumberFormat="1" applyFont="1" applyFill="1" applyBorder="1" applyAlignment="1">
      <alignment horizontal="right"/>
    </xf>
    <xf numFmtId="0" fontId="5" fillId="2" borderId="0" xfId="49" applyFont="1" applyFill="1"/>
    <xf numFmtId="0" fontId="0" fillId="2" borderId="0" xfId="49" applyFill="1"/>
    <xf numFmtId="0" fontId="6" fillId="4" borderId="0" xfId="49" applyNumberFormat="1" applyFont="1" applyFill="1" applyBorder="1" applyAlignment="1">
      <alignment horizontal="left" vertical="center" wrapText="1"/>
    </xf>
    <xf numFmtId="0" fontId="6" fillId="4"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ont>
        <color rgb="FF000000"/>
      </font>
      <fill>
        <patternFill patternType="solid">
          <bgColor rgb="FFF4CC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1"/>
  <sheetViews>
    <sheetView tabSelected="1" zoomScale="67" zoomScaleNormal="67" workbookViewId="0">
      <selection activeCell="K9" sqref="K9"/>
    </sheetView>
  </sheetViews>
  <sheetFormatPr defaultColWidth="13.4411764705882" defaultRowHeight="17.6" outlineLevelCol="7"/>
  <cols>
    <col min="1" max="1" width="31" style="1" customWidth="1"/>
    <col min="2" max="2" width="30" style="1" customWidth="1"/>
    <col min="3" max="3" width="22" style="1" customWidth="1"/>
    <col min="4" max="4" width="11.4411764705882" style="1" customWidth="1"/>
    <col min="5" max="5" width="8" style="1" customWidth="1"/>
    <col min="6" max="7" width="13" style="1" customWidth="1"/>
    <col min="8" max="8" width="9" style="1" customWidth="1"/>
  </cols>
  <sheetData>
    <row r="1" s="1" customFormat="1" ht="30" customHeight="1" spans="1:8">
      <c r="A1" s="2" t="s">
        <v>0</v>
      </c>
    </row>
    <row r="2" s="1" customFormat="1" ht="15" customHeight="1" spans="1:8">
      <c r="A2" s="3" t="s">
        <v>1</v>
      </c>
      <c r="B2" s="4" t="s">
        <v>2</v>
      </c>
      <c r="C2" s="5"/>
      <c r="D2" s="5"/>
      <c r="E2" s="6"/>
    </row>
    <row r="3" s="1" customFormat="1" ht="15" customHeight="1" spans="1:8">
      <c r="A3" s="7" t="s">
        <v>3</v>
      </c>
      <c r="B3" s="3" t="s">
        <v>4</v>
      </c>
      <c r="C3" s="5"/>
      <c r="D3" s="5"/>
      <c r="E3" s="6"/>
      <c r="F3" s="8"/>
      <c r="G3" s="8"/>
      <c r="H3" s="8"/>
    </row>
    <row r="4" s="1" customFormat="1" ht="15" customHeight="1" spans="1:8">
      <c r="A4" s="7" t="s">
        <v>5</v>
      </c>
      <c r="B4" s="3" t="s">
        <v>6</v>
      </c>
      <c r="C4" s="5"/>
      <c r="D4" s="5"/>
      <c r="E4" s="6"/>
      <c r="F4" s="8"/>
      <c r="G4" s="8"/>
      <c r="H4" s="8"/>
    </row>
    <row r="5" s="1" customFormat="1" ht="15" customHeight="1" spans="1:8">
      <c r="A5" s="7" t="s">
        <v>7</v>
      </c>
      <c r="B5" s="3" t="s">
        <v>8</v>
      </c>
      <c r="C5" s="5"/>
      <c r="D5" s="5"/>
      <c r="E5" s="6"/>
      <c r="F5" s="8"/>
      <c r="G5" s="8"/>
      <c r="H5" s="8"/>
    </row>
    <row r="6" s="1" customFormat="1" ht="15" customHeight="1" spans="1:8">
      <c r="A6" s="9"/>
      <c r="B6" s="8"/>
      <c r="C6" s="8"/>
      <c r="D6" s="10"/>
      <c r="E6" s="10"/>
      <c r="F6" s="8"/>
      <c r="G6" s="8"/>
      <c r="H6" s="8"/>
    </row>
    <row r="7" s="1" customFormat="1" ht="30" customHeight="1" spans="1:8">
      <c r="A7" s="11" t="s">
        <v>9</v>
      </c>
      <c r="B7" s="5"/>
      <c r="C7" s="5"/>
      <c r="D7" s="5"/>
      <c r="E7" s="5"/>
      <c r="F7" s="5"/>
      <c r="G7" s="5"/>
      <c r="H7" s="6"/>
    </row>
    <row r="8" s="1" customFormat="1" ht="44" customHeight="1" spans="1:8">
      <c r="A8" s="12" t="s">
        <v>10</v>
      </c>
      <c r="B8" s="13" t="s">
        <v>11</v>
      </c>
      <c r="C8" s="13" t="s">
        <v>12</v>
      </c>
      <c r="D8" s="14" t="s">
        <v>13</v>
      </c>
      <c r="E8" s="14" t="s">
        <v>14</v>
      </c>
      <c r="F8" s="14" t="s">
        <v>15</v>
      </c>
      <c r="G8" s="15" t="s">
        <v>16</v>
      </c>
      <c r="H8" s="15" t="s">
        <v>17</v>
      </c>
    </row>
    <row r="9" s="1" customFormat="1" ht="40" customHeight="1" spans="1:8">
      <c r="A9" s="16"/>
      <c r="B9" s="17" t="s">
        <v>18</v>
      </c>
      <c r="C9" s="17" t="s">
        <v>19</v>
      </c>
      <c r="D9" s="18" t="s">
        <v>20</v>
      </c>
      <c r="E9" s="19">
        <v>1</v>
      </c>
      <c r="F9" s="20">
        <v>350</v>
      </c>
      <c r="G9" s="21">
        <f>E9*F9</f>
        <v>350</v>
      </c>
      <c r="H9" s="22" t="s">
        <v>21</v>
      </c>
    </row>
    <row r="10" s="1" customFormat="1" ht="40" customHeight="1" spans="1:8">
      <c r="A10" s="16"/>
      <c r="B10" s="17" t="s">
        <v>22</v>
      </c>
      <c r="C10" s="17" t="s">
        <v>23</v>
      </c>
      <c r="D10" s="18" t="s">
        <v>24</v>
      </c>
      <c r="E10" s="19">
        <v>1</v>
      </c>
      <c r="F10" s="20">
        <v>23</v>
      </c>
      <c r="G10" s="21">
        <f>E10*F10</f>
        <v>23</v>
      </c>
      <c r="H10" s="22" t="s">
        <v>21</v>
      </c>
    </row>
    <row r="11" s="1" customFormat="1" ht="40" customHeight="1" spans="1:8">
      <c r="A11" s="16"/>
      <c r="B11" s="17" t="s">
        <v>25</v>
      </c>
      <c r="C11" s="17" t="s">
        <v>26</v>
      </c>
      <c r="D11" s="19" t="s">
        <v>27</v>
      </c>
      <c r="E11" s="19">
        <v>1</v>
      </c>
      <c r="F11" s="20">
        <v>30</v>
      </c>
      <c r="G11" s="21">
        <f>E11*F11</f>
        <v>30</v>
      </c>
      <c r="H11" s="22" t="s">
        <v>21</v>
      </c>
    </row>
    <row r="12" s="1" customFormat="1" ht="30" customHeight="1" spans="1:8">
      <c r="A12" s="16"/>
      <c r="B12" s="23"/>
      <c r="C12" s="23"/>
      <c r="D12" s="24"/>
      <c r="E12" s="25"/>
      <c r="F12" s="26"/>
      <c r="G12" s="21"/>
      <c r="H12" s="27"/>
    </row>
    <row r="13" s="1" customFormat="1" ht="15" customHeight="1" spans="1:8">
      <c r="A13" s="16"/>
      <c r="B13" s="28"/>
      <c r="C13" s="23"/>
      <c r="D13" s="25"/>
      <c r="E13" s="29"/>
      <c r="F13" s="20"/>
      <c r="G13" s="21"/>
      <c r="H13" s="27"/>
    </row>
    <row r="14" s="1" customFormat="1" ht="15" customHeight="1" spans="1:8">
      <c r="A14" s="16"/>
      <c r="B14" s="23"/>
      <c r="C14" s="28"/>
      <c r="D14" s="25"/>
      <c r="E14" s="29"/>
      <c r="F14" s="20"/>
      <c r="G14" s="21"/>
      <c r="H14" s="27"/>
    </row>
    <row r="15" s="1" customFormat="1" ht="15" customHeight="1" spans="1:8">
      <c r="A15" s="30"/>
      <c r="B15" s="9"/>
      <c r="C15" s="8"/>
      <c r="D15" s="31"/>
      <c r="E15" s="10"/>
      <c r="F15" s="32"/>
      <c r="G15" s="33"/>
      <c r="H15" s="34"/>
    </row>
    <row r="16" s="1" customFormat="1" ht="30" customHeight="1" spans="1:8">
      <c r="A16" s="11" t="s">
        <v>28</v>
      </c>
      <c r="B16" s="5"/>
      <c r="C16" s="5"/>
      <c r="D16" s="5"/>
      <c r="E16" s="5"/>
      <c r="F16" s="35"/>
      <c r="G16" s="35"/>
      <c r="H16" s="6"/>
    </row>
    <row r="17" s="1" customFormat="1" ht="44" customHeight="1" spans="1:8">
      <c r="A17" s="36" t="s">
        <v>29</v>
      </c>
      <c r="B17" s="13" t="s">
        <v>11</v>
      </c>
      <c r="C17" s="13" t="s">
        <v>12</v>
      </c>
      <c r="D17" s="14" t="s">
        <v>13</v>
      </c>
      <c r="E17" s="14" t="s">
        <v>14</v>
      </c>
      <c r="F17" s="37" t="s">
        <v>15</v>
      </c>
      <c r="G17" s="38" t="s">
        <v>16</v>
      </c>
      <c r="H17" s="15" t="s">
        <v>17</v>
      </c>
    </row>
    <row r="18" s="1" customFormat="1" ht="30" customHeight="1" spans="1:8">
      <c r="A18" s="16"/>
      <c r="B18" t="s">
        <v>30</v>
      </c>
      <c r="C18" t="s">
        <v>31</v>
      </c>
      <c r="D18" s="39" t="s">
        <v>31</v>
      </c>
      <c r="E18" s="40">
        <v>0</v>
      </c>
      <c r="F18" s="41">
        <v>0</v>
      </c>
      <c r="G18" s="42">
        <f>E18*F18</f>
        <v>0</v>
      </c>
      <c r="H18" s="43" t="s">
        <v>21</v>
      </c>
    </row>
    <row r="19" s="1" customFormat="1" ht="15" customHeight="1" spans="1:8">
      <c r="A19" s="16"/>
      <c r="D19" s="39"/>
      <c r="E19" s="40"/>
      <c r="F19" s="44"/>
      <c r="G19" s="42"/>
      <c r="H19" s="43"/>
    </row>
    <row r="20" s="1" customFormat="1" ht="15" customHeight="1" spans="1:8">
      <c r="A20" s="16"/>
      <c r="D20" s="40"/>
      <c r="E20" s="40"/>
      <c r="F20" s="44"/>
      <c r="G20" s="42">
        <f>E20*F20</f>
        <v>0</v>
      </c>
      <c r="H20" s="43" t="s">
        <v>21</v>
      </c>
    </row>
    <row r="21" s="1" customFormat="1" ht="15" customHeight="1" spans="1:8">
      <c r="A21" s="16"/>
      <c r="D21" s="40"/>
      <c r="E21" s="40"/>
      <c r="F21" s="44"/>
      <c r="G21" s="42">
        <f>E21*F21</f>
        <v>0</v>
      </c>
      <c r="H21" s="43" t="s">
        <v>21</v>
      </c>
    </row>
    <row r="22" s="1" customFormat="1" ht="15" customHeight="1" spans="1:8">
      <c r="A22" s="16"/>
      <c r="D22" s="40"/>
      <c r="E22" s="40"/>
      <c r="F22" s="44"/>
      <c r="G22" s="42">
        <f>E22*F22</f>
        <v>0</v>
      </c>
      <c r="H22" s="43" t="s">
        <v>21</v>
      </c>
    </row>
    <row r="23" s="1" customFormat="1" ht="15" customHeight="1" spans="1:8">
      <c r="A23" s="16"/>
      <c r="B23" s="45" t="s">
        <v>32</v>
      </c>
      <c r="F23" s="44"/>
      <c r="G23" s="42">
        <f>SUM(G18:G22)</f>
        <v>0</v>
      </c>
      <c r="H23" s="43" t="s">
        <v>21</v>
      </c>
    </row>
    <row r="24" s="1" customFormat="1" ht="15" customHeight="1" spans="1:8">
      <c r="A24" s="16"/>
      <c r="B24" s="45" t="s">
        <v>33</v>
      </c>
      <c r="F24" s="44"/>
      <c r="G24" s="46">
        <v>0.25</v>
      </c>
      <c r="H24" s="47"/>
    </row>
    <row r="25" s="1" customFormat="1" ht="15" customHeight="1" spans="1:8">
      <c r="A25" s="48"/>
      <c r="B25" s="49" t="s">
        <v>34</v>
      </c>
      <c r="F25" s="44"/>
      <c r="G25" s="42">
        <f>G23*(1+G24)</f>
        <v>0</v>
      </c>
      <c r="H25" s="43" t="s">
        <v>21</v>
      </c>
    </row>
    <row r="26" s="1" customFormat="1" ht="15" customHeight="1" spans="1:8">
      <c r="A26" s="50"/>
      <c r="B26" s="51"/>
      <c r="C26" s="51"/>
      <c r="D26" s="39"/>
      <c r="E26" s="39"/>
      <c r="F26" s="52"/>
      <c r="G26" s="53"/>
      <c r="H26" s="54"/>
    </row>
    <row r="27" s="1" customFormat="1" ht="30" customHeight="1" spans="1:8">
      <c r="A27" s="55" t="s">
        <v>35</v>
      </c>
      <c r="B27" s="51" t="s">
        <v>36</v>
      </c>
      <c r="C27" s="51" t="s">
        <v>31</v>
      </c>
      <c r="D27" s="39" t="s">
        <v>31</v>
      </c>
      <c r="E27" s="39">
        <v>0</v>
      </c>
      <c r="F27" s="52">
        <v>0</v>
      </c>
      <c r="G27" s="53">
        <f>E27*F27</f>
        <v>0</v>
      </c>
      <c r="H27" s="43" t="s">
        <v>21</v>
      </c>
    </row>
    <row r="28" s="1" customFormat="1" ht="15" customHeight="1" spans="1:8">
      <c r="A28" s="56"/>
      <c r="B28" s="57" t="s">
        <v>37</v>
      </c>
      <c r="C28" s="58"/>
      <c r="D28" s="58"/>
      <c r="E28" s="58"/>
      <c r="F28" s="59"/>
      <c r="G28" s="53">
        <f>G27-G25</f>
        <v>0</v>
      </c>
      <c r="H28" s="43" t="s">
        <v>21</v>
      </c>
    </row>
    <row r="29" s="1" customFormat="1" ht="44" customHeight="1" spans="1:8">
      <c r="A29" s="36" t="s">
        <v>38</v>
      </c>
      <c r="B29" s="13" t="s">
        <v>11</v>
      </c>
      <c r="C29" s="13" t="s">
        <v>12</v>
      </c>
      <c r="D29" s="14" t="s">
        <v>13</v>
      </c>
      <c r="E29" s="14" t="s">
        <v>14</v>
      </c>
      <c r="F29" s="37" t="s">
        <v>15</v>
      </c>
      <c r="G29" s="60" t="s">
        <v>16</v>
      </c>
      <c r="H29" s="61" t="s">
        <v>17</v>
      </c>
    </row>
    <row r="30" s="1" customFormat="1" ht="40" customHeight="1" spans="1:8">
      <c r="A30" s="16"/>
      <c r="B30" s="17" t="s">
        <v>18</v>
      </c>
      <c r="C30" s="17" t="s">
        <v>19</v>
      </c>
      <c r="D30" s="19" t="s">
        <v>20</v>
      </c>
      <c r="E30" s="19">
        <v>1</v>
      </c>
      <c r="F30" s="20">
        <f>G9</f>
        <v>350</v>
      </c>
      <c r="G30" s="21">
        <f>E30*F30</f>
        <v>350</v>
      </c>
      <c r="H30" s="22" t="s">
        <v>21</v>
      </c>
    </row>
    <row r="31" s="1" customFormat="1" ht="40" customHeight="1" spans="1:8">
      <c r="A31" s="16"/>
      <c r="B31" s="62" t="s">
        <v>22</v>
      </c>
      <c r="C31" s="62" t="s">
        <v>23</v>
      </c>
      <c r="D31" s="18" t="s">
        <v>24</v>
      </c>
      <c r="E31" s="18">
        <v>1</v>
      </c>
      <c r="F31" s="26">
        <f>G10</f>
        <v>23</v>
      </c>
      <c r="G31" s="21">
        <f>E31*F31</f>
        <v>23</v>
      </c>
      <c r="H31" s="22" t="s">
        <v>21</v>
      </c>
    </row>
    <row r="32" s="1" customFormat="1" ht="40" customHeight="1" spans="1:8">
      <c r="A32" s="16"/>
      <c r="B32" s="17" t="s">
        <v>25</v>
      </c>
      <c r="C32" s="17" t="s">
        <v>26</v>
      </c>
      <c r="D32" s="19" t="s">
        <v>27</v>
      </c>
      <c r="E32" s="19">
        <v>1</v>
      </c>
      <c r="F32" s="20">
        <f>G11</f>
        <v>30</v>
      </c>
      <c r="G32" s="21">
        <f>E32*F32</f>
        <v>30</v>
      </c>
      <c r="H32" s="22" t="s">
        <v>21</v>
      </c>
    </row>
    <row r="33" s="1" customFormat="1" ht="40" customHeight="1" spans="1:8">
      <c r="A33" s="16"/>
      <c r="B33" s="17" t="s">
        <v>39</v>
      </c>
      <c r="C33" s="17" t="s">
        <v>40</v>
      </c>
      <c r="D33" s="19" t="s">
        <v>41</v>
      </c>
      <c r="E33" s="19">
        <v>1</v>
      </c>
      <c r="F33" s="20">
        <v>13.25</v>
      </c>
      <c r="G33" s="21">
        <f>E33*F33</f>
        <v>13.25</v>
      </c>
      <c r="H33" s="22" t="s">
        <v>21</v>
      </c>
    </row>
    <row r="34" s="1" customFormat="1" ht="15" customHeight="1" spans="1:8">
      <c r="A34" s="16"/>
      <c r="B34" t="s">
        <v>42</v>
      </c>
      <c r="C34" t="s">
        <v>43</v>
      </c>
      <c r="D34" s="40" t="s">
        <v>43</v>
      </c>
      <c r="E34" s="40">
        <v>0</v>
      </c>
      <c r="F34" s="44">
        <v>0</v>
      </c>
      <c r="G34" s="42">
        <f>E34*F34</f>
        <v>0</v>
      </c>
      <c r="H34" s="43" t="s">
        <v>21</v>
      </c>
    </row>
    <row r="35" s="1" customFormat="1" ht="15" customHeight="1" spans="1:8">
      <c r="A35" s="16"/>
      <c r="B35" s="45" t="s">
        <v>32</v>
      </c>
      <c r="F35" s="44"/>
      <c r="G35" s="42">
        <f>SUM(G30:G34)</f>
        <v>416.25</v>
      </c>
      <c r="H35" s="43" t="s">
        <v>21</v>
      </c>
    </row>
    <row r="36" s="1" customFormat="1" ht="15" customHeight="1" spans="1:8">
      <c r="A36" s="16"/>
      <c r="B36" s="45" t="s">
        <v>33</v>
      </c>
      <c r="F36" s="44"/>
      <c r="G36" s="46">
        <v>0.25</v>
      </c>
      <c r="H36" s="47"/>
    </row>
    <row r="37" s="1" customFormat="1" ht="15" customHeight="1" spans="1:8">
      <c r="A37" s="48"/>
      <c r="B37" s="49" t="s">
        <v>44</v>
      </c>
      <c r="F37" s="44"/>
      <c r="G37" s="42">
        <f>G35*(1+G36)</f>
        <v>520.3125</v>
      </c>
      <c r="H37" s="43" t="s">
        <v>21</v>
      </c>
    </row>
    <row r="38" s="1" customFormat="1" ht="15" customHeight="1" spans="1:8">
      <c r="A38" s="50"/>
      <c r="B38" s="51"/>
      <c r="C38" s="51"/>
      <c r="D38" s="39"/>
      <c r="E38" s="39"/>
      <c r="F38" s="52"/>
      <c r="G38" s="53"/>
      <c r="H38" s="54"/>
    </row>
    <row r="39" s="1" customFormat="1" ht="30" customHeight="1" spans="1:8">
      <c r="A39" s="55" t="s">
        <v>45</v>
      </c>
      <c r="B39" s="63" t="s">
        <v>46</v>
      </c>
      <c r="C39" s="63" t="s">
        <v>47</v>
      </c>
      <c r="D39" s="25" t="s">
        <v>48</v>
      </c>
      <c r="E39" s="25">
        <v>1</v>
      </c>
      <c r="F39" s="64">
        <v>1500</v>
      </c>
      <c r="G39" s="65">
        <f>E39*F39</f>
        <v>1500</v>
      </c>
      <c r="H39" s="27" t="s">
        <v>21</v>
      </c>
    </row>
    <row r="40" s="1" customFormat="1" ht="15" customHeight="1" spans="1:8">
      <c r="A40" s="56"/>
      <c r="B40" s="57" t="s">
        <v>49</v>
      </c>
      <c r="C40" s="58"/>
      <c r="D40" s="58"/>
      <c r="E40" s="58"/>
      <c r="F40" s="59"/>
      <c r="G40" s="53">
        <f>G39-G37</f>
        <v>979.6875</v>
      </c>
      <c r="H40" s="43" t="s">
        <v>21</v>
      </c>
    </row>
    <row r="41" s="1" customFormat="1" ht="44" customHeight="1" spans="1:8">
      <c r="A41" s="36" t="s">
        <v>50</v>
      </c>
      <c r="B41" s="13" t="s">
        <v>11</v>
      </c>
      <c r="C41" s="13" t="s">
        <v>12</v>
      </c>
      <c r="D41" s="14" t="s">
        <v>13</v>
      </c>
      <c r="E41" s="14" t="s">
        <v>14</v>
      </c>
      <c r="F41" s="37" t="s">
        <v>15</v>
      </c>
      <c r="G41" s="60" t="s">
        <v>16</v>
      </c>
      <c r="H41" s="61" t="s">
        <v>17</v>
      </c>
    </row>
    <row r="42" s="1" customFormat="1" ht="30" customHeight="1" spans="1:8">
      <c r="A42" s="16"/>
      <c r="B42" s="23" t="s">
        <v>51</v>
      </c>
      <c r="C42" s="28" t="s">
        <v>31</v>
      </c>
      <c r="D42" s="25" t="s">
        <v>31</v>
      </c>
      <c r="E42" s="29">
        <v>0</v>
      </c>
      <c r="F42" s="26">
        <v>0</v>
      </c>
      <c r="G42" s="66">
        <f>E42*F42</f>
        <v>0</v>
      </c>
      <c r="H42" s="27" t="s">
        <v>21</v>
      </c>
    </row>
    <row r="43" s="1" customFormat="1" ht="15" customHeight="1" spans="1:8">
      <c r="A43" s="16"/>
      <c r="D43" s="40"/>
      <c r="E43" s="40"/>
      <c r="F43" s="44"/>
      <c r="G43" s="42">
        <f>E43*F43</f>
        <v>0</v>
      </c>
      <c r="H43" s="43" t="s">
        <v>21</v>
      </c>
    </row>
    <row r="44" s="1" customFormat="1" ht="15" customHeight="1" spans="1:8">
      <c r="A44" s="16"/>
      <c r="D44" s="40"/>
      <c r="E44" s="40"/>
      <c r="F44" s="44"/>
      <c r="G44" s="42">
        <f>E44*F44</f>
        <v>0</v>
      </c>
      <c r="H44" s="43" t="s">
        <v>21</v>
      </c>
    </row>
    <row r="45" s="1" customFormat="1" ht="15" customHeight="1" spans="1:8">
      <c r="A45" s="16"/>
      <c r="D45" s="40"/>
      <c r="E45" s="40"/>
      <c r="F45" s="44"/>
      <c r="G45" s="42">
        <f>E45*F45</f>
        <v>0</v>
      </c>
      <c r="H45" s="43" t="s">
        <v>21</v>
      </c>
    </row>
    <row r="46" s="1" customFormat="1" ht="15" customHeight="1" spans="1:8">
      <c r="A46" s="16"/>
      <c r="B46" s="45" t="s">
        <v>32</v>
      </c>
      <c r="F46" s="44"/>
      <c r="G46" s="42">
        <f>SUM(G41:G45)</f>
        <v>0</v>
      </c>
      <c r="H46" s="43" t="s">
        <v>21</v>
      </c>
    </row>
    <row r="47" s="1" customFormat="1" ht="15" customHeight="1" spans="1:8">
      <c r="A47" s="16"/>
      <c r="B47" s="45" t="s">
        <v>33</v>
      </c>
      <c r="F47" s="44"/>
      <c r="G47" s="46">
        <v>0.25</v>
      </c>
      <c r="H47" s="47"/>
    </row>
    <row r="48" s="1" customFormat="1" ht="15" customHeight="1" spans="1:8">
      <c r="A48" s="16"/>
      <c r="B48" s="49" t="s">
        <v>52</v>
      </c>
      <c r="F48" s="44"/>
      <c r="G48" s="42">
        <f>G46*(1+G47)</f>
        <v>0</v>
      </c>
      <c r="H48" s="43" t="s">
        <v>21</v>
      </c>
    </row>
    <row r="49" s="1" customFormat="1" ht="15" customHeight="1" spans="1:8">
      <c r="A49" s="50"/>
      <c r="B49" s="51"/>
      <c r="C49" s="51"/>
      <c r="D49" s="39"/>
      <c r="E49" s="39"/>
      <c r="F49" s="52"/>
      <c r="G49" s="53"/>
      <c r="H49" s="54"/>
    </row>
    <row r="50" s="1" customFormat="1" ht="30" customHeight="1" spans="1:8">
      <c r="A50" s="55" t="s">
        <v>53</v>
      </c>
      <c r="B50" s="51" t="s">
        <v>54</v>
      </c>
      <c r="C50" s="51" t="s">
        <v>31</v>
      </c>
      <c r="D50" s="39" t="s">
        <v>31</v>
      </c>
      <c r="E50" s="39">
        <v>0</v>
      </c>
      <c r="F50" s="52">
        <v>0</v>
      </c>
      <c r="G50" s="53">
        <f>E50*F50</f>
        <v>0</v>
      </c>
      <c r="H50" s="43" t="s">
        <v>21</v>
      </c>
    </row>
    <row r="51" s="1" customFormat="1" ht="15" customHeight="1" spans="1:8">
      <c r="A51" s="56"/>
      <c r="B51" s="57" t="s">
        <v>55</v>
      </c>
      <c r="C51" s="58"/>
      <c r="D51" s="58"/>
      <c r="E51" s="58"/>
      <c r="F51" s="59"/>
      <c r="G51" s="53">
        <f>G50-G48</f>
        <v>0</v>
      </c>
      <c r="H51" s="43" t="s">
        <v>21</v>
      </c>
    </row>
    <row r="52" s="1" customFormat="1" ht="44" customHeight="1" spans="1:8">
      <c r="A52" s="36" t="s">
        <v>56</v>
      </c>
      <c r="B52" s="13" t="s">
        <v>11</v>
      </c>
      <c r="C52" s="13" t="s">
        <v>12</v>
      </c>
      <c r="D52" s="14" t="s">
        <v>13</v>
      </c>
      <c r="E52" s="14" t="s">
        <v>14</v>
      </c>
      <c r="F52" s="37" t="s">
        <v>15</v>
      </c>
      <c r="G52" s="60" t="s">
        <v>16</v>
      </c>
      <c r="H52" s="61" t="s">
        <v>17</v>
      </c>
    </row>
    <row r="53" s="1" customFormat="1" ht="30" customHeight="1" spans="1:8">
      <c r="A53" s="16"/>
      <c r="B53" s="67" t="s">
        <v>30</v>
      </c>
      <c r="C53" t="s">
        <v>31</v>
      </c>
      <c r="D53" s="39" t="s">
        <v>31</v>
      </c>
      <c r="E53" s="40">
        <v>0</v>
      </c>
      <c r="F53" s="41">
        <v>0</v>
      </c>
      <c r="G53" s="42">
        <f>E53*F53</f>
        <v>0</v>
      </c>
      <c r="H53" s="43" t="s">
        <v>21</v>
      </c>
    </row>
    <row r="54" s="1" customFormat="1" ht="15" customHeight="1" spans="1:8">
      <c r="A54" s="16"/>
      <c r="D54" s="40"/>
      <c r="E54" s="40"/>
      <c r="F54" s="44"/>
      <c r="G54" s="42">
        <f>E54*F54</f>
        <v>0</v>
      </c>
      <c r="H54" s="43" t="s">
        <v>21</v>
      </c>
    </row>
    <row r="55" s="1" customFormat="1" ht="15" customHeight="1" spans="1:8">
      <c r="A55" s="16"/>
      <c r="D55" s="40"/>
      <c r="E55" s="40"/>
      <c r="F55" s="44"/>
      <c r="G55" s="42">
        <f>E55*F55</f>
        <v>0</v>
      </c>
      <c r="H55" s="43" t="s">
        <v>21</v>
      </c>
    </row>
    <row r="56" s="1" customFormat="1" ht="15" customHeight="1" spans="1:8">
      <c r="A56" s="16"/>
      <c r="D56" s="40"/>
      <c r="E56" s="40"/>
      <c r="F56" s="44"/>
      <c r="G56" s="42">
        <f>E56*F56</f>
        <v>0</v>
      </c>
      <c r="H56" s="43" t="s">
        <v>21</v>
      </c>
    </row>
    <row r="57" s="1" customFormat="1" ht="15" customHeight="1" spans="1:8">
      <c r="A57" s="16"/>
      <c r="B57" s="45" t="s">
        <v>32</v>
      </c>
      <c r="F57" s="44"/>
      <c r="G57" s="42">
        <f>SUM(G52:G56)</f>
        <v>0</v>
      </c>
      <c r="H57" s="43" t="s">
        <v>21</v>
      </c>
    </row>
    <row r="58" s="1" customFormat="1" ht="15" customHeight="1" spans="1:8">
      <c r="A58" s="16"/>
      <c r="B58" s="45" t="s">
        <v>33</v>
      </c>
      <c r="F58" s="44"/>
      <c r="G58" s="46">
        <v>0.25</v>
      </c>
      <c r="H58" s="47"/>
    </row>
    <row r="59" s="1" customFormat="1" ht="15" customHeight="1" spans="1:8">
      <c r="A59" s="16"/>
      <c r="B59" s="49" t="s">
        <v>57</v>
      </c>
      <c r="F59" s="44"/>
      <c r="G59" s="42">
        <f>G57*(1+G58)</f>
        <v>0</v>
      </c>
      <c r="H59" s="43" t="s">
        <v>21</v>
      </c>
    </row>
    <row r="60" s="1" customFormat="1" ht="15" customHeight="1" spans="1:8">
      <c r="A60" s="50"/>
      <c r="B60" s="67"/>
      <c r="D60" s="39"/>
      <c r="E60" s="40"/>
      <c r="F60" s="44"/>
      <c r="G60" s="42"/>
      <c r="H60" s="34"/>
    </row>
    <row r="61" s="1" customFormat="1" ht="30" customHeight="1" spans="1:8">
      <c r="A61" s="55" t="s">
        <v>58</v>
      </c>
      <c r="B61" s="23" t="s">
        <v>59</v>
      </c>
      <c r="C61" s="28" t="s">
        <v>31</v>
      </c>
      <c r="D61" s="25" t="s">
        <v>31</v>
      </c>
      <c r="E61" s="29">
        <v>0</v>
      </c>
      <c r="F61" s="20">
        <v>0</v>
      </c>
      <c r="G61" s="21">
        <f>E61*F61</f>
        <v>0</v>
      </c>
      <c r="H61" s="27" t="s">
        <v>21</v>
      </c>
    </row>
    <row r="62" s="1" customFormat="1" ht="15" customHeight="1" spans="1:8">
      <c r="A62" s="16"/>
      <c r="B62" s="68" t="s">
        <v>60</v>
      </c>
      <c r="F62" s="44"/>
      <c r="G62" s="53">
        <f>G61-G59</f>
        <v>0</v>
      </c>
      <c r="H62" s="43" t="s">
        <v>21</v>
      </c>
    </row>
    <row r="63" s="1" customFormat="1" ht="15" customHeight="1" spans="1:8">
      <c r="A63" s="69"/>
      <c r="B63" s="70"/>
      <c r="C63" s="70"/>
      <c r="D63" s="70"/>
      <c r="E63" s="70"/>
      <c r="F63" s="71"/>
      <c r="G63" s="72"/>
      <c r="H63" s="73"/>
    </row>
    <row r="64" s="1" customFormat="1" ht="30" customHeight="1" spans="1:8">
      <c r="A64" s="11" t="s">
        <v>61</v>
      </c>
      <c r="B64" s="5"/>
      <c r="C64" s="5"/>
      <c r="D64" s="5"/>
      <c r="E64" s="5"/>
      <c r="F64" s="35"/>
      <c r="G64" s="35"/>
      <c r="H64" s="6"/>
    </row>
    <row r="65" s="1" customFormat="1" ht="15" customHeight="1" spans="1:8">
      <c r="A65" s="74"/>
      <c r="B65" s="58"/>
      <c r="C65" s="58"/>
      <c r="D65" s="58"/>
      <c r="E65" s="58"/>
      <c r="F65" s="59"/>
      <c r="G65" s="59"/>
      <c r="H65" s="75"/>
    </row>
    <row r="66" s="1" customFormat="1" ht="44" customHeight="1" spans="1:8">
      <c r="A66" s="11" t="s">
        <v>62</v>
      </c>
      <c r="B66" s="5"/>
      <c r="C66" s="5"/>
      <c r="D66" s="5"/>
      <c r="E66" s="5"/>
      <c r="F66" s="35"/>
      <c r="G66" s="35"/>
      <c r="H66" s="6"/>
    </row>
    <row r="67" s="1" customFormat="1" ht="44" customHeight="1" spans="1:8">
      <c r="A67" s="36" t="s">
        <v>63</v>
      </c>
      <c r="B67" s="13" t="s">
        <v>11</v>
      </c>
      <c r="C67" s="13" t="s">
        <v>12</v>
      </c>
      <c r="D67" s="14" t="s">
        <v>13</v>
      </c>
      <c r="E67" s="14" t="s">
        <v>64</v>
      </c>
      <c r="F67" s="37" t="s">
        <v>65</v>
      </c>
      <c r="G67" s="60" t="s">
        <v>16</v>
      </c>
      <c r="H67" s="61" t="s">
        <v>17</v>
      </c>
    </row>
    <row r="68" s="1" customFormat="1" ht="50" customHeight="1" spans="1:8">
      <c r="A68" s="76" t="s">
        <v>66</v>
      </c>
      <c r="B68" s="77" t="s">
        <v>67</v>
      </c>
      <c r="C68" s="18" t="s">
        <v>68</v>
      </c>
      <c r="D68" s="18" t="s">
        <v>69</v>
      </c>
      <c r="E68" s="78">
        <v>9</v>
      </c>
      <c r="F68" s="64">
        <v>3000</v>
      </c>
      <c r="G68" s="79">
        <f>F68</f>
        <v>3000</v>
      </c>
      <c r="H68" s="80" t="s">
        <v>21</v>
      </c>
    </row>
    <row r="69" s="1" customFormat="1" ht="15" customHeight="1" spans="1:8">
      <c r="A69" s="81"/>
      <c r="B69" s="51"/>
      <c r="C69" s="51"/>
      <c r="D69" s="39"/>
      <c r="E69" s="39"/>
      <c r="F69" s="52"/>
      <c r="G69" s="53"/>
      <c r="H69" s="82"/>
    </row>
    <row r="70" s="1" customFormat="1" ht="38" customHeight="1" spans="1:8">
      <c r="A70" s="83" t="s">
        <v>70</v>
      </c>
      <c r="B70" s="84" t="s">
        <v>71</v>
      </c>
      <c r="C70" s="84" t="s">
        <v>47</v>
      </c>
      <c r="D70" s="85" t="s">
        <v>72</v>
      </c>
      <c r="E70" s="85">
        <v>1</v>
      </c>
      <c r="F70" s="86">
        <v>6</v>
      </c>
      <c r="G70" s="87">
        <f>E70*F70</f>
        <v>6</v>
      </c>
      <c r="H70" s="88" t="s">
        <v>21</v>
      </c>
    </row>
    <row r="71" s="1" customFormat="1" ht="38" customHeight="1" spans="1:8">
      <c r="A71" s="16"/>
      <c r="B71" s="84" t="s">
        <v>46</v>
      </c>
      <c r="C71" s="84" t="s">
        <v>47</v>
      </c>
      <c r="D71" s="85" t="s">
        <v>48</v>
      </c>
      <c r="E71" s="85">
        <v>1</v>
      </c>
      <c r="F71" s="86">
        <f>F39</f>
        <v>1500</v>
      </c>
      <c r="G71" s="87">
        <f>E71*F71</f>
        <v>1500</v>
      </c>
      <c r="H71" s="88" t="s">
        <v>21</v>
      </c>
    </row>
    <row r="72" s="1" customFormat="1" ht="38" customHeight="1" spans="1:8">
      <c r="A72" s="16"/>
      <c r="B72" s="89" t="s">
        <v>73</v>
      </c>
      <c r="C72" s="90" t="s">
        <v>31</v>
      </c>
      <c r="D72" s="85" t="s">
        <v>31</v>
      </c>
      <c r="E72" s="91">
        <v>0</v>
      </c>
      <c r="F72" s="92">
        <v>0</v>
      </c>
      <c r="G72" s="93">
        <f>E72*F72</f>
        <v>0</v>
      </c>
      <c r="H72" s="88" t="s">
        <v>21</v>
      </c>
    </row>
    <row r="73" s="1" customFormat="1" ht="15" customHeight="1" spans="1:8">
      <c r="A73" s="81"/>
      <c r="B73" s="68" t="s">
        <v>74</v>
      </c>
      <c r="F73" s="44"/>
      <c r="G73" s="94">
        <f>G68-SUM(G70:G72)</f>
        <v>1494</v>
      </c>
      <c r="H73" s="95" t="s">
        <v>21</v>
      </c>
    </row>
    <row r="74" s="1" customFormat="1" ht="15" customHeight="1" spans="1:8">
      <c r="A74" s="81"/>
      <c r="B74" s="10"/>
      <c r="C74" s="10"/>
      <c r="D74" s="31"/>
      <c r="E74" s="31"/>
      <c r="F74" s="96"/>
      <c r="G74" s="97"/>
      <c r="H74" s="98"/>
    </row>
    <row r="75" s="1" customFormat="1" ht="44" customHeight="1" spans="1:8">
      <c r="A75" s="36" t="s">
        <v>75</v>
      </c>
      <c r="B75" s="13" t="s">
        <v>11</v>
      </c>
      <c r="C75" s="13" t="s">
        <v>12</v>
      </c>
      <c r="D75" s="14" t="s">
        <v>13</v>
      </c>
      <c r="E75" s="14" t="s">
        <v>64</v>
      </c>
      <c r="F75" s="37" t="s">
        <v>65</v>
      </c>
      <c r="G75" s="60" t="s">
        <v>16</v>
      </c>
      <c r="H75" s="61" t="s">
        <v>17</v>
      </c>
    </row>
    <row r="76" s="1" customFormat="1" ht="30" customHeight="1" spans="1:8">
      <c r="A76" s="76" t="s">
        <v>76</v>
      </c>
      <c r="B76" s="51" t="s">
        <v>77</v>
      </c>
      <c r="C76" s="39" t="s">
        <v>31</v>
      </c>
      <c r="D76" s="39" t="s">
        <v>31</v>
      </c>
      <c r="E76" s="39" t="s">
        <v>31</v>
      </c>
      <c r="F76" s="52">
        <v>0</v>
      </c>
      <c r="G76" s="94">
        <v>0</v>
      </c>
      <c r="H76" s="95" t="s">
        <v>21</v>
      </c>
    </row>
    <row r="77" s="1" customFormat="1" ht="15" customHeight="1" spans="1:8">
      <c r="A77" s="81"/>
      <c r="B77" s="51"/>
      <c r="C77" s="51"/>
      <c r="D77" s="39"/>
      <c r="E77" s="39"/>
      <c r="F77" s="52"/>
      <c r="G77" s="53"/>
      <c r="H77" s="82"/>
    </row>
    <row r="78" s="1" customFormat="1" ht="30" customHeight="1" spans="1:8">
      <c r="A78" s="83" t="s">
        <v>78</v>
      </c>
      <c r="B78" s="51" t="s">
        <v>79</v>
      </c>
      <c r="C78" s="51" t="s">
        <v>31</v>
      </c>
      <c r="D78" s="39" t="s">
        <v>31</v>
      </c>
      <c r="E78" s="39">
        <v>0</v>
      </c>
      <c r="F78" s="52">
        <v>0</v>
      </c>
      <c r="G78" s="53">
        <f>E78*F78</f>
        <v>0</v>
      </c>
      <c r="H78" s="43" t="s">
        <v>21</v>
      </c>
    </row>
    <row r="79" s="1" customFormat="1" ht="15" customHeight="1" spans="1:8">
      <c r="A79" s="16"/>
      <c r="B79" s="51"/>
      <c r="C79" s="51"/>
      <c r="D79" s="39"/>
      <c r="E79" s="39"/>
      <c r="F79" s="52"/>
      <c r="G79" s="53"/>
      <c r="H79" s="43"/>
    </row>
    <row r="80" s="1" customFormat="1" ht="15" customHeight="1" spans="1:8">
      <c r="A80" s="16"/>
      <c r="B80" s="67"/>
      <c r="D80" s="39"/>
      <c r="E80" s="40"/>
      <c r="F80" s="44"/>
      <c r="G80" s="42"/>
      <c r="H80" s="43"/>
    </row>
    <row r="81" s="1" customFormat="1" ht="15" customHeight="1" spans="1:8">
      <c r="A81" s="81"/>
      <c r="B81" s="68" t="s">
        <v>80</v>
      </c>
      <c r="F81" s="44"/>
      <c r="G81" s="94">
        <f>G76-SUM(G78:G80)</f>
        <v>0</v>
      </c>
      <c r="H81" s="95" t="s">
        <v>21</v>
      </c>
    </row>
    <row r="82" s="1" customFormat="1" ht="15" customHeight="1" spans="1:8">
      <c r="A82" s="48"/>
      <c r="B82" s="67"/>
      <c r="D82" s="99"/>
      <c r="E82" s="39"/>
      <c r="F82" s="100"/>
      <c r="G82" s="42"/>
      <c r="H82" s="101"/>
    </row>
    <row r="83" s="1" customFormat="1" ht="30" customHeight="1" spans="1:8">
      <c r="A83" s="102" t="s">
        <v>81</v>
      </c>
      <c r="B83" s="5"/>
      <c r="C83" s="5"/>
      <c r="D83" s="5"/>
      <c r="E83" s="5"/>
      <c r="F83" s="35"/>
      <c r="G83" s="103"/>
      <c r="H83" s="104"/>
    </row>
    <row r="84" s="1" customFormat="1" ht="44" customHeight="1" spans="1:8">
      <c r="A84" s="105"/>
      <c r="B84" s="106" t="s">
        <v>11</v>
      </c>
      <c r="C84" s="106" t="s">
        <v>12</v>
      </c>
      <c r="D84" s="107" t="s">
        <v>13</v>
      </c>
      <c r="E84" s="107"/>
      <c r="F84" s="108" t="s">
        <v>82</v>
      </c>
      <c r="G84" s="109" t="s">
        <v>83</v>
      </c>
      <c r="H84" s="110"/>
    </row>
    <row r="85" s="1" customFormat="1" ht="30" customHeight="1" spans="1:8">
      <c r="A85" s="16"/>
      <c r="B85" t="s">
        <v>84</v>
      </c>
      <c r="C85" t="s">
        <v>31</v>
      </c>
      <c r="D85" s="39" t="s">
        <v>31</v>
      </c>
      <c r="E85" s="40"/>
      <c r="F85" s="100" t="s">
        <v>85</v>
      </c>
      <c r="G85" s="42">
        <v>0</v>
      </c>
      <c r="H85" s="54"/>
    </row>
    <row r="86" s="1" customFormat="1" ht="15" customHeight="1" spans="1:8">
      <c r="A86" s="16"/>
      <c r="D86" s="40"/>
      <c r="E86" s="40"/>
      <c r="F86" s="111" t="s">
        <v>86</v>
      </c>
      <c r="G86" s="42" t="s">
        <v>85</v>
      </c>
      <c r="H86" s="43"/>
    </row>
    <row r="87" s="1" customFormat="1" ht="15" customHeight="1" spans="1:8">
      <c r="A87" s="112" t="s">
        <v>87</v>
      </c>
      <c r="G87" s="113"/>
      <c r="H87" s="113"/>
    </row>
    <row r="88" s="1" customFormat="1" ht="30" customHeight="1" spans="1:8">
      <c r="A88" s="62" t="s">
        <v>88</v>
      </c>
      <c r="B88" s="90"/>
      <c r="C88" s="90"/>
      <c r="D88" s="90"/>
      <c r="E88" s="90"/>
      <c r="F88" s="90"/>
      <c r="G88" s="90"/>
      <c r="H88" s="90"/>
    </row>
    <row r="89" s="1" customFormat="1" ht="90" customHeight="1" spans="1:8">
      <c r="A89" s="114" t="s">
        <v>89</v>
      </c>
      <c r="B89" s="90"/>
      <c r="C89" s="90"/>
      <c r="D89" s="90"/>
      <c r="E89" s="90"/>
      <c r="F89" s="90"/>
      <c r="G89" s="90"/>
      <c r="H89" s="90"/>
    </row>
    <row r="90" s="1" customFormat="1" ht="65" customHeight="1" spans="1:8">
      <c r="A90" s="115" t="s">
        <v>90</v>
      </c>
      <c r="B90" s="90"/>
      <c r="C90" s="90"/>
      <c r="D90" s="90"/>
      <c r="E90" s="90"/>
      <c r="F90" s="90"/>
      <c r="G90" s="90"/>
      <c r="H90" s="90"/>
    </row>
    <row r="91" s="1" customFormat="1" ht="65" customHeight="1" spans="1:8">
      <c r="A91" s="115" t="s">
        <v>91</v>
      </c>
      <c r="B91" s="90"/>
      <c r="C91" s="90"/>
      <c r="D91" s="90"/>
      <c r="E91" s="90"/>
      <c r="F91" s="90"/>
      <c r="G91" s="90"/>
      <c r="H91" s="90"/>
    </row>
  </sheetData>
  <mergeCells count="36">
    <mergeCell ref="A1:H1"/>
    <mergeCell ref="B2:E2"/>
    <mergeCell ref="B3:E3"/>
    <mergeCell ref="B4:E4"/>
    <mergeCell ref="B5:E5"/>
    <mergeCell ref="A7:H7"/>
    <mergeCell ref="A16:H16"/>
    <mergeCell ref="B23:F23"/>
    <mergeCell ref="B24:F24"/>
    <mergeCell ref="B25:F25"/>
    <mergeCell ref="B28:F28"/>
    <mergeCell ref="B35:F35"/>
    <mergeCell ref="B36:F36"/>
    <mergeCell ref="B37:F37"/>
    <mergeCell ref="B40:F40"/>
    <mergeCell ref="B46:F46"/>
    <mergeCell ref="B47:F47"/>
    <mergeCell ref="B48:F48"/>
    <mergeCell ref="B51:F51"/>
    <mergeCell ref="B57:F57"/>
    <mergeCell ref="B58:F58"/>
    <mergeCell ref="B59:F59"/>
    <mergeCell ref="B62:F62"/>
    <mergeCell ref="A64:H64"/>
    <mergeCell ref="A65:H65"/>
    <mergeCell ref="A66:H66"/>
    <mergeCell ref="B73:F73"/>
    <mergeCell ref="B81:F81"/>
    <mergeCell ref="A83:F83"/>
    <mergeCell ref="A87:F87"/>
    <mergeCell ref="A88:H88"/>
    <mergeCell ref="A89:H89"/>
    <mergeCell ref="A90:H90"/>
    <mergeCell ref="A91:H91"/>
    <mergeCell ref="A70:A72"/>
    <mergeCell ref="A78:A80"/>
  </mergeCells>
  <conditionalFormatting sqref="G28 G40 G51 G62">
    <cfRule type="cellIs" dxfId="0" priority="1" operator="lessThan">
      <formula>0</formula>
    </cfRule>
  </conditionalFormatting>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Power Budget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gaoduotao</cp:lastModifiedBy>
  <dcterms:created xsi:type="dcterms:W3CDTF">2026-10-23T13:10:11Z</dcterms:created>
  <dcterms:modified xsi:type="dcterms:W3CDTF">2026-10-23T13:11:11Z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28A29C67CF296D5A5FBFDB6A3CE9DBE2_43</vt:lpwstr>
  </property>
  <property fmtid="{D5CDD505-2E9C-101B-9397-08002B2CF9AE}" pid="3" name="KSOProductBuildVer">
    <vt:lpwstr>2052-12.1.26050.26050</vt:lpwstr>
  </property>
  <property fmtid="{D5CDD505-2E9C-101B-9397-08002B2CF9AE}" pid="4" name="CalculationRule">
    <vt:i4>0</vt:i4>
  </property>
</Properties>
</file>