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9379bc041c4116" /></Relationships>
</file>

<file path=xl/workbook.xml><?xml version="1.0" encoding="utf-8"?>
<x:workbook xmlns:x="http://schemas.openxmlformats.org/spreadsheetml/2006/main">
  <x:sheets>
    <x:sheet xmlns:r="http://schemas.openxmlformats.org/officeDocument/2006/relationships" name="Purchase List" sheetId="1" r:id="R14bf2db311d745e6"/>
    <x:sheet xmlns:r="http://schemas.openxmlformats.org/officeDocument/2006/relationships" name="BOM" sheetId="2" r:id="Rfd97e713115d4867"/>
    <x:sheet xmlns:r="http://schemas.openxmlformats.org/officeDocument/2006/relationships" name="Original KiCad Export" sheetId="3" r:id="R1c33d87c924645ec"/>
    <x:sheet xmlns:r="http://schemas.openxmlformats.org/officeDocument/2006/relationships" name="Price Quotes" sheetId="4" r:id="Ra2f0dec3ee494fbb"/>
    <x:sheet xmlns:r="http://schemas.openxmlformats.org/officeDocument/2006/relationships" name="Single Board Cost" sheetId="5" r:id="R8c77ea41499142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8">
    <x:font>
      <x:sz val="11"/>
      <x:name val="Carlito"/>
    </x:font>
    <x:font>
      <x:sz val="11"/>
      <x:name val="Arial"/>
    </x:font>
    <x:font>
      <x:b/>
      <x:sz val="11"/>
      <x:color rgb="FFFFFFFF"/>
      <x:name val="Arial"/>
    </x:font>
    <x:font>
      <x:b/>
      <x:sz val="16"/>
      <x:name val="Arial"/>
    </x:font>
    <x:font>
      <x:sz val="10"/>
      <x:name val="Arial"/>
    </x:font>
    <x:font>
      <x:b/>
      <x:sz val="16"/>
      <x:color rgb="FFFFFFFF"/>
      <x:name val="Arial"/>
    </x:font>
    <x:font>
      <x:b/>
      <x:sz val="10"/>
      <x:color rgb="FFFFFFFF"/>
      <x:name val="Arial"/>
    </x:font>
    <x:font>
      <x:b/>
      <x:sz val="10"/>
      <x:name val="Arial"/>
    </x:font>
  </x:fonts>
  <x:fills count="8">
    <x:fill>
      <x:patternFill patternType="none"/>
    </x:fill>
    <x:fill>
      <x:patternFill patternType="gray125"/>
    </x:fill>
    <x:fill>
      <x:patternFill patternType="solid">
        <x:fgColor rgb="FF243B53"/>
      </x:patternFill>
    </x:fill>
    <x:fill>
      <x:patternFill patternType="solid">
        <x:fgColor rgb="FFFFF2CC"/>
      </x:patternFill>
    </x:fill>
    <x:fill>
      <x:patternFill patternType="solid">
        <x:fgColor rgb="FFDCE6F1"/>
      </x:patternFill>
    </x:fill>
    <x:fill>
      <x:patternFill patternType="solid">
        <x:fgColor rgb="FF243B53"/>
      </x:patternFill>
    </x:fill>
    <x:fill>
      <x:patternFill patternType="solid">
        <x:fgColor rgb="FFFFF2CC"/>
      </x:patternFill>
    </x:fill>
    <x:fill>
      <x:patternFill patternType="solid">
        <x:fgColor rgb="FF243B53"/>
      </x:patternFill>
    </x:fill>
  </x:fills>
  <x:borders count="1">
    <x:border>
      <x:left/>
      <x:right/>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200" fontId="1" fillId="6" borderId="0"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201" fontId="4" fillId="0" borderId="0" xfId="0" applyNumberFormat="1" applyFont="1" applyFill="1" applyBorder="1"/>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201" fontId="4" fillId="0" borderId="0" xfId="0" applyNumberFormat="1" applyFont="1" applyFill="1" applyBorder="1" applyAlignment="1">
      <x:alignment wrapText="1"/>
    </x:xf>
    <x:xf numFmtId="0" fontId="4" fillId="7" borderId="0" xfId="0" applyNumberFormat="1" applyFont="1" applyFill="1" applyBorder="1" applyAlignment="1">
      <x:alignment wrapText="1"/>
    </x:xf>
    <x:xf numFmtId="0" fontId="5" fillId="7" borderId="0" xfId="0" applyNumberFormat="1" applyFont="1" applyFill="1" applyBorder="1" applyAlignment="1">
      <x:alignment wrapText="1"/>
    </x:xf>
    <x:xf numFmtId="0" fontId="6" fillId="7" borderId="0" xfId="0" applyNumberFormat="1" applyFont="1" applyFill="1" applyBorder="1" applyAlignment="1">
      <x:alignment wrapText="1"/>
    </x:xf>
    <x:xf numFmtId="200" fontId="7" fillId="0" borderId="0" xfId="0" applyNumberFormat="1" applyFont="1" applyFill="1" applyBorder="1" applyAlignment="1">
      <x:alignment wrapText="1"/>
    </x:xf>
    <x:xf numFmtId="0" fontId="7" fillId="0" borderId="0" xfId="0" applyNumberFormat="1" applyFont="1" applyFill="1" applyBorder="1" applyAlignment="1">
      <x:alignment wrapText="1"/>
    </x:xf>
  </x:cellXfs>
  <x:cellStyles count="1">
    <x:cellStyle name="Normal" xfId="0"/>
  </x:cellStyles>
  <x:dxfs count="1">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561a0a0ef141c8" /><Relationship Type="http://schemas.openxmlformats.org/officeDocument/2006/relationships/theme" Target="/xl/theme/theme1.xml" Id="R1ef037854e2d4c1d" /><Relationship Type="http://schemas.openxmlformats.org/officeDocument/2006/relationships/sharedStrings" Target="/xl/sharedStrings.xml" Id="R56abca177c7b490a" /><Relationship Type="http://schemas.openxmlformats.org/officeDocument/2006/relationships/worksheet" Target="/xl/worksheets/sheet1.xml" Id="R14bf2db311d745e6" /><Relationship Type="http://schemas.openxmlformats.org/officeDocument/2006/relationships/worksheet" Target="/xl/worksheets/sheet2.xml" Id="Rfd97e713115d4867" /><Relationship Type="http://schemas.openxmlformats.org/officeDocument/2006/relationships/worksheet" Target="/xl/worksheets/sheet3.xml" Id="R1c33d87c924645ec" /><Relationship Type="http://schemas.openxmlformats.org/officeDocument/2006/relationships/worksheet" Target="/xl/worksheets/sheet4.xml" Id="Ra2f0dec3ee494fbb" /><Relationship Type="http://schemas.openxmlformats.org/officeDocument/2006/relationships/worksheet" Target="/xl/worksheets/sheet5.xml" Id="R8c77ea4149914269" /></Relationships>
</file>

<file path=xl/tables/table1.xml><?xml version="1.0" encoding="utf-8"?>
<x:table xmlns:x="http://schemas.openxmlformats.org/spreadsheetml/2006/main" id="5" name="PurchasePlan" displayName="PurchasePlan" ref="A8:I19" headerRowCount="1" totalsRowCount="0" totalsRowShown="0">
  <x:tableColumns count="9">
    <x:tableColumn id="1" name="Part / Description"/>
    <x:tableColumn id="2" name="Refs"/>
    <x:tableColumn id="3" name="Order Qty"/>
    <x:tableColumn id="4" name="Unit Price (USD)"/>
    <x:tableColumn id="5" name="Line Total (USD)"/>
    <x:tableColumn id="6" name="Status"/>
    <x:tableColumn id="7" name="Selected MPN"/>
    <x:tableColumn id="8" name="Product Link"/>
    <x:tableColumn id="9" name="Order / Fit Notes"/>
  </x:tableColumns>
  <x:tableStyleInfo name="TableStyleMedium2" showFirstColumn="0" showLastColumn="0" showRowStripes="1" showColumnStripes="0"/>
</x:table>
</file>

<file path=xl/tables/table2.xml><?xml version="1.0" encoding="utf-8"?>
<x:table xmlns:x="http://schemas.openxmlformats.org/spreadsheetml/2006/main" id="2" name="FullBOM" displayName="FullBOM" ref="A1:Q46" headerRowCount="1" totalsRowCount="0" totalsRowShown="0">
  <x:tableColumns count="17">
    <x:tableColumn id="1" name="Part Name/Description"/>
    <x:tableColumn id="2" name="Qty per Board / System"/>
    <x:tableColumn id="3" name="Order Qty"/>
    <x:tableColumn id="4" name="Unit Cost (USD)"/>
    <x:tableColumn id="5" name="Total Cost (USD)"/>
    <x:tableColumn id="6" name="Manufacturer"/>
    <x:tableColumn id="7" name="Manufacturer #"/>
    <x:tableColumn id="8" name="Vendor / Source to Check"/>
    <x:tableColumn id="9" name="Vendor Link / Stock Location"/>
    <x:tableColumn id="10" name="Datasheet"/>
    <x:tableColumn id="11" name="Ref Designators"/>
    <x:tableColumn id="12" name="Alternate"/>
    <x:tableColumn id="13" name="Footprint / Package"/>
    <x:tableColumn id="14" name="Notes"/>
    <x:tableColumn id="15" name="Planned Total Qty"/>
    <x:tableColumn id="16" name="Confirmed Available Qty"/>
    <x:tableColumn id="17" name="Procurement Status"/>
  </x:tableColumns>
  <x:tableStyleInfo name="TableStyleMedium2" showFirstColumn="0" showLastColumn="0" showRowStripes="1" showColumnStripes="0"/>
</x:table>
</file>

<file path=xl/tables/table3.xml><?xml version="1.0" encoding="utf-8"?>
<x:table xmlns:x="http://schemas.openxmlformats.org/spreadsheetml/2006/main" id="4" name="SelectedQuotes" displayName="SelectedQuotes" ref="A1:J19" headerRowCount="1" totalsRowCount="0" totalsRowShown="0">
  <x:tableColumns count="10">
    <x:tableColumn id="1" name="Ref / Use"/>
    <x:tableColumn id="2" name="Quoted MPN"/>
    <x:tableColumn id="3" name="Unit Price (USD)"/>
    <x:tableColumn id="4" name="Qty Tier"/>
    <x:tableColumn id="5" name="Supplier"/>
    <x:tableColumn id="6" name="Product Link"/>
    <x:tableColumn id="7" name="Quote Notes"/>
    <x:tableColumn id="8" name="Digi-Key SKU"/>
    <x:tableColumn id="9" name="Stock when retrieved"/>
    <x:tableColumn id="10" name="Checke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df247ae1db4216" /></Relationships>
</file>

<file path=xl/worksheets/_rels/sheet2.xml.rels>&#65279;<?xml version="1.0" encoding="utf-8"?><Relationships xmlns="http://schemas.openxmlformats.org/package/2006/relationships"><Relationship Type="http://schemas.openxmlformats.org/officeDocument/2006/relationships/table" Target="/xl/tables/table2.xml" Id="R1426511952194e96" /></Relationships>
</file>

<file path=xl/worksheets/_rels/sheet4.xml.rels>&#65279;<?xml version="1.0" encoding="utf-8"?><Relationships xmlns="http://schemas.openxmlformats.org/package/2006/relationships"><Relationship Type="http://schemas.openxmlformats.org/officeDocument/2006/relationships/table" Target="/xl/tables/table3.xml" Id="R36183699bf55478d" /></Relationships>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44" hidden="0" customWidth="1"/>
    <x:col min="2" max="2" width="28" hidden="0" customWidth="1"/>
    <x:col min="3" max="3" width="12" hidden="0" customWidth="1"/>
    <x:col min="4" max="4" width="15" hidden="0" customWidth="1"/>
    <x:col min="5" max="5" width="16" hidden="0" customWidth="1"/>
    <x:col min="6" max="6" width="25" hidden="0" customWidth="1"/>
    <x:col min="7" max="7" width="32" hidden="0" customWidth="1"/>
    <x:col min="8" max="8" width="62" hidden="0" customWidth="1"/>
    <x:col min="9" max="9" width="88" hidden="0" customWidth="1"/>
  </x:cols>
  <x:sheetData>
    <x:row r="1">
      <x:c r="A1" s="3"/>
      <x:c r="B1" s="3"/>
      <x:c r="C1" s="3"/>
      <x:c r="D1" s="3"/>
      <x:c r="E1" s="3"/>
      <x:c r="F1" s="3"/>
      <x:c r="G1" s="3"/>
      <x:c r="H1" s="3"/>
      <x:c r="I1" s="3"/>
    </x:row>
    <x:row r="2">
      <x:c r="A2" s="6" t="str">
        <x:v>UI Board BOM and Purchase List</x:v>
      </x:c>
      <x:c r="B2" s="3"/>
      <x:c r="C2" s="3"/>
      <x:c r="D2" s="3"/>
      <x:c r="E2" s="3"/>
      <x:c r="F2" s="3"/>
      <x:c r="G2" s="3"/>
      <x:c r="H2" s="3"/>
      <x:c r="I2" s="3"/>
    </x:row>
    <x:row r="3" ht="28" customHeight="1">
      <x:c r="A3" s="3" t="str">
        <x:v>Course-funded budget limit (USD)</x:v>
      </x:c>
      <x:c r="B3" s="7" t="n">
        <x:v>60</x:v>
      </x:c>
      <x:c r="C3" s="3"/>
      <x:c r="D3" s="3" t="str">
        <x:v>Materials-only headroom</x:v>
      </x:c>
      <x:c r="E3" s="7" t="n">
        <x:f>B3-B4</x:f>
        <x:v>22.410000000000004</x:v>
      </x:c>
      <x:c r="F3" s="3"/>
      <x:c r="G3" s="3"/>
      <x:c r="H3" s="3"/>
      <x:c r="I3" s="3"/>
    </x:row>
    <x:row r="4" ht="48" customHeight="1">
      <x:c r="A4" s="3" t="str">
        <x:v>Materials subtotal (USD)</x:v>
      </x:c>
      <x:c r="B4" s="7" t="n">
        <x:f>SUM(E9:E19)</x:f>
        <x:v>37.589999999999996</x:v>
      </x:c>
      <x:c r="C4" s="3"/>
      <x:c r="D4" s="3" t="str">
        <x:v>Materials budget status</x:v>
      </x:c>
      <x:c r="E4" s="3" t="str">
        <x:f>IF(B4&gt;B3,"MATERIALS OVER $60","MATERIALS WITHIN $60; FEES TBD")</x:f>
        <x:v>MATERIALS WITHIN $60; FEES TBD</x:v>
      </x:c>
      <x:c r="F4" s="3"/>
      <x:c r="G4" s="3"/>
      <x:c r="H4" s="3"/>
      <x:c r="I4" s="3"/>
    </x:row>
    <x:row r="5" ht="28" customHeight="1">
      <x:c r="A5" s="3" t="str">
        <x:v>Shipping + tax + tariff (USD)</x:v>
      </x:c>
      <x:c r="B5" s="15"/>
      <x:c r="C5" s="3"/>
      <x:c r="D5" s="3" t="str">
        <x:v>Price check</x:v>
      </x:c>
      <x:c r="E5" s="3" t="str">
        <x:v>2026-10-29, US / USD</x:v>
      </x:c>
      <x:c r="F5" s="3"/>
      <x:c r="G5" s="3"/>
      <x:c r="H5" s="3"/>
      <x:c r="I5" s="3"/>
    </x:row>
    <x:row r="6" ht="28" customHeight="1">
      <x:c r="A6" s="3" t="str">
        <x:v>Landed total (USD)</x:v>
      </x:c>
      <x:c r="B6" s="7" t="str">
        <x:f>IF(ISNUMBER(B5),B4+B5,"")</x:f>
      </x:c>
      <x:c r="C6" s="3"/>
      <x:c r="D6" s="3"/>
      <x:c r="E6" s="3"/>
      <x:c r="F6" s="3"/>
      <x:c r="G6" s="3"/>
      <x:c r="H6" s="3"/>
      <x:c r="I6" s="3"/>
    </x:row>
    <x:row r="7">
      <x:c r="A7" s="3"/>
      <x:c r="B7" s="3"/>
      <x:c r="C7" s="3"/>
      <x:c r="D7" s="3"/>
      <x:c r="E7" s="3"/>
      <x:c r="F7" s="3"/>
      <x:c r="G7" s="3"/>
      <x:c r="H7" s="3"/>
      <x:c r="I7" s="3"/>
    </x:row>
    <x:row r="8" ht="42" customHeight="1">
      <x:c r="A8" s="14" t="str">
        <x:v>Part / Description</x:v>
      </x:c>
      <x:c r="B8" s="14" t="str">
        <x:v>Refs</x:v>
      </x:c>
      <x:c r="C8" s="14" t="str">
        <x:v>Order Qty</x:v>
      </x:c>
      <x:c r="D8" s="14" t="str">
        <x:v>Unit Price (USD)</x:v>
      </x:c>
      <x:c r="E8" s="14" t="str">
        <x:v>Line Total (USD)</x:v>
      </x:c>
      <x:c r="F8" s="14" t="str">
        <x:v>Status</x:v>
      </x:c>
      <x:c r="G8" s="14" t="str">
        <x:v>Selected MPN</x:v>
      </x:c>
      <x:c r="H8" s="14" t="str">
        <x:v>Product Link</x:v>
      </x:c>
      <x:c r="I8" s="14" t="str">
        <x:v>Order / Fit Notes</x:v>
      </x:c>
    </x:row>
    <x:row r="9" ht="82" customHeight="1">
      <x:c r="A9" s="3" t="str">
        <x:v>16 x 2 character LCD module</x:v>
      </x:c>
      <x:c r="B9" s="3" t="str">
        <x:v>J4</x:v>
      </x:c>
      <x:c r="C9" s="3" t="n">
        <x:f>BOM!C14</x:f>
        <x:v>2</x:v>
      </x:c>
      <x:c r="D9" s="7" t="n">
        <x:f>BOM!D14</x:f>
        <x:v>8.11</x:v>
      </x:c>
      <x:c r="E9" s="7" t="n">
        <x:f>BOM!E14</x:f>
        <x:v>16.22</x:v>
      </x:c>
      <x:c r="F9" s="3" t="str">
        <x:v>Digi-Key order</x:v>
      </x:c>
      <x:c r="G9" s="3" t="str">
        <x:v>NHD-0216K1Z-FSW-FBW-L</x:v>
      </x:c>
      <x:c r="H9" s="3" t="str">
        <x:v>https://www.digikey.com/en/products/detail/newhaven-display-intl/NHD-0216K1Z-FSW-FBW-L/1701185</x:v>
      </x:c>
      <x:c r="I9" s="3" t="str">
        <x:v>Two LCDs: one working display can move from breadboard to socketed PCB; the second is a spare. The optional third is omitted to control cost. Course module approval still requires confirmation.</x:v>
      </x:c>
    </x:row>
    <x:row r="10" ht="82" customHeight="1">
      <x:c r="A10" s="3" t="str">
        <x:v>Electrolytic capacitor, 220 uF 16 V</x:v>
      </x:c>
      <x:c r="B10" s="3" t="str">
        <x:v>C14</x:v>
      </x:c>
      <x:c r="C10" s="3" t="n">
        <x:f>BOM!C6</x:f>
        <x:v>4</x:v>
      </x:c>
      <x:c r="D10" s="7" t="n">
        <x:f>BOM!D6</x:f>
        <x:v>0.45</x:v>
      </x:c>
      <x:c r="E10" s="7" t="n">
        <x:f>BOM!E6</x:f>
        <x:v>1.8</x:v>
      </x:c>
      <x:c r="F10" s="3" t="str">
        <x:v>Digi-Key order</x:v>
      </x:c>
      <x:c r="G10" s="3" t="str">
        <x:v>16YXJ220MCR6.3X11</x:v>
      </x:c>
      <x:c r="H10" s="3" t="str">
        <x:v>https://www.digikey.com/en/products/detail/rubycon/16YXJ220MCR6-3X11/5429971</x:v>
      </x:c>
      <x:c r="I10" s="3" t="str">
        <x:v>220 uF 16 V polarized. Course-list row 41 has no order confirmation, so it is purchased. Active Rubycon part, $0.45 each, 2654 in stock when checked. Verify positive pad and clearance.</x:v>
      </x:c>
    </x:row>
    <x:row r="11" ht="82" customHeight="1">
      <x:c r="A11" s="3" t="str">
        <x:v>Nonpolar ceramic capacitor, 0.33 uF 50 V</x:v>
      </x:c>
      <x:c r="B11" s="3" t="str">
        <x:v>C2</x:v>
      </x:c>
      <x:c r="C11" s="3" t="n">
        <x:f>BOM!C2</x:f>
        <x:v>4</x:v>
      </x:c>
      <x:c r="D11" s="7" t="n">
        <x:f>BOM!D2</x:f>
        <x:v>0.37</x:v>
      </x:c>
      <x:c r="E11" s="7" t="n">
        <x:f>BOM!E2</x:f>
        <x:v>1.48</x:v>
      </x:c>
      <x:c r="F11" s="3" t="str">
        <x:v>Digi-Key order</x:v>
      </x:c>
      <x:c r="G11" s="3" t="str">
        <x:v>FA28X7R1H334KRU00</x:v>
      </x:c>
      <x:c r="H11" s="3" t="str">
        <x:v>https://www.digikey.com/en/products/detail/tdk/FA28X7R1H334KRU00/7384656</x:v>
      </x:c>
      <x:c r="I11" s="3" t="str">
        <x:v>0.33 uF 50 V X7R nonpolar. Course-list row 104 is under Not Necessary this Fall and is not treated as issued stock. Selected active part: $0.37 each, 446 in stock when checked.</x:v>
      </x:c>
    </x:row>
    <x:row r="12" ht="82" customHeight="1">
      <x:c r="A12" s="3" t="str">
        <x:v>Nonpolar ceramic capacitor, 1 uF 50 V (16 V minimum)</x:v>
      </x:c>
      <x:c r="B12" s="3" t="str">
        <x:v>C9</x:v>
      </x:c>
      <x:c r="C12" s="3" t="n">
        <x:f>BOM!C5</x:f>
        <x:v>4</x:v>
      </x:c>
      <x:c r="D12" s="7" t="n">
        <x:f>BOM!D5</x:f>
        <x:v>0.31</x:v>
      </x:c>
      <x:c r="E12" s="7" t="n">
        <x:f>BOM!E5</x:f>
        <x:v>1.24</x:v>
      </x:c>
      <x:c r="F12" s="3" t="str">
        <x:v>Digi-Key order</x:v>
      </x:c>
      <x:c r="G12" s="3" t="str">
        <x:v>FG28X5R1H105KRT00</x:v>
      </x:c>
      <x:c r="H12" s="3" t="str">
        <x:v>https://www.digikey.com/en/products/detail/tdk/FG28X5R1H105KRT00/7384818</x:v>
      </x:c>
      <x:c r="I12" s="3" t="str">
        <x:v>1 uF 50 V nonpolar ceramic; exceeds original 16 V rating. X5R capacitance varies with bias; verify audio response. Match radial footprint.</x:v>
      </x:c>
    </x:row>
    <x:row r="13" ht="82" customHeight="1">
      <x:c r="A13" s="3" t="str">
        <x:v>Resistor, 200k</x:v>
      </x:c>
      <x:c r="B13" s="3" t="str">
        <x:v>R13</x:v>
      </x:c>
      <x:c r="C13" s="3" t="n">
        <x:f>BOM!C23</x:f>
        <x:v>4</x:v>
      </x:c>
      <x:c r="D13" s="7" t="n">
        <x:f>BOM!D23</x:f>
        <x:v>0.11</x:v>
      </x:c>
      <x:c r="E13" s="7" t="n">
        <x:f>BOM!E23</x:f>
        <x:v>0.44</x:v>
      </x:c>
      <x:c r="F13" s="3" t="str">
        <x:v>Digi-Key order</x:v>
      </x:c>
      <x:c r="G13" s="3" t="str">
        <x:v>MFR-25FBF52-200K</x:v>
      </x:c>
      <x:c r="H13" s="3" t="str">
        <x:v>https://www.digikey.com/en/products/detail/yageo/MFR-25FBF52-200K/13547</x:v>
      </x:c>
      <x:c r="I13" s="3" t="str">
        <x:v>Four per supplied reference. Existing resistor footprint nominal 6.3 mm body and 10.16 mm lead spacing; check hole diameter.</x:v>
      </x:c>
    </x:row>
    <x:row r="14" ht="82" customHeight="1">
      <x:c r="A14" s="3" t="str">
        <x:v>Schottky diode, reverse-polarity protection</x:v>
      </x:c>
      <x:c r="B14" s="3" t="str">
        <x:v>D3</x:v>
      </x:c>
      <x:c r="C14" s="3" t="n">
        <x:f>BOM!C10</x:f>
        <x:v>4</x:v>
      </x:c>
      <x:c r="D14" s="7" t="n">
        <x:f>BOM!D10</x:f>
        <x:v>0.71</x:v>
      </x:c>
      <x:c r="E14" s="7" t="n">
        <x:f>BOM!E10</x:f>
        <x:v>2.84</x:v>
      </x:c>
      <x:c r="F14" s="3" t="str">
        <x:v>Digi-Key order</x:v>
      </x:c>
      <x:c r="G14" s="3" t="str">
        <x:v>1N5822</x:v>
      </x:c>
      <x:c r="H14" s="3" t="str">
        <x:v>https://www.digikey.com/en/products/detail/taiwan-semiconductor-corporation/1N5822/7366597</x:v>
      </x:c>
      <x:c r="I14" s="3" t="str">
        <x:v>40 V 3 A Schottky. Select Cut Tape, not full reel. Existing kit rectifier is not assumed equivalent.</x:v>
      </x:c>
    </x:row>
    <x:row r="15" ht="82" customHeight="1">
      <x:c r="A15" s="3" t="str">
        <x:v>Shrouded ribbon header, 2 x 4</x:v>
      </x:c>
      <x:c r="B15" s="3" t="str">
        <x:v>J1</x:v>
      </x:c>
      <x:c r="C15" s="3" t="n">
        <x:f>BOM!C12</x:f>
        <x:v>3</x:v>
      </x:c>
      <x:c r="D15" s="7" t="n">
        <x:f>BOM!D12</x:f>
        <x:v>1.03</x:v>
      </x:c>
      <x:c r="E15" s="7" t="n">
        <x:f>BOM!E12</x:f>
        <x:v>3.09</x:v>
      </x:c>
      <x:c r="F15" s="3" t="str">
        <x:v>Digi-Key order</x:v>
      </x:c>
      <x:c r="G15" s="3" t="str">
        <x:v>61200821621</x:v>
      </x:c>
      <x:c r="H15" s="3" t="str">
        <x:v>https://www.digikey.com/en/products/detail/w%C3%BCrth-elektronik/61200821621/4846916</x:v>
      </x:c>
      <x:c r="I15" s="3" t="str">
        <x:v>Match numbered pins, key orientation and the teammate cable before PCB.</x:v>
      </x:c>
    </x:row>
    <x:row r="16" ht="82" customHeight="1">
      <x:c r="A16" s="3" t="str">
        <x:v>Speaker screw terminal, 2 positions</x:v>
      </x:c>
      <x:c r="B16" s="3" t="str">
        <x:v>J5</x:v>
      </x:c>
      <x:c r="C16" s="3" t="n">
        <x:f>BOM!C15</x:f>
        <x:v>3</x:v>
      </x:c>
      <x:c r="D16" s="7" t="n">
        <x:f>BOM!D15</x:f>
        <x:v>0.67</x:v>
      </x:c>
      <x:c r="E16" s="7" t="n">
        <x:f>BOM!E15</x:f>
        <x:v>2.01</x:v>
      </x:c>
      <x:c r="F16" s="3" t="str">
        <x:v>Digi-Key order</x:v>
      </x:c>
      <x:c r="G16" s="3" t="str">
        <x:v>OSTTE020161</x:v>
      </x:c>
      <x:c r="H16" s="3" t="str">
        <x:v>https://www.digikey.com/en/products/detail/on-shore-technology-inc/OSTTE020161/614584</x:v>
      </x:c>
      <x:c r="I16" s="3" t="str">
        <x:v>Speaker connects by wires. Verify pad pitch and terminal pin mapping.</x:v>
      </x:c>
    </x:row>
    <x:row r="17" ht="82" customHeight="1">
      <x:c r="A17" s="3" t="str">
        <x:v>Speaker, 8 ohm, 2 W</x:v>
      </x:c>
      <x:c r="B17" s="3" t="str">
        <x:v>External speaker via J5</x:v>
      </x:c>
      <x:c r="C17" s="3" t="n">
        <x:f>BOM!C36</x:f>
        <x:v>3</x:v>
      </x:c>
      <x:c r="D17" s="7" t="n">
        <x:f>BOM!D36</x:f>
        <x:v>2.17</x:v>
      </x:c>
      <x:c r="E17" s="7" t="n">
        <x:f>BOM!E36</x:f>
        <x:v>6.51</x:v>
      </x:c>
      <x:c r="F17" s="3" t="str">
        <x:v>Digi-Key order</x:v>
      </x:c>
      <x:c r="G17" s="3" t="str">
        <x:v>CMS-3652-28L200</x:v>
      </x:c>
      <x:c r="H17" s="3" t="str">
        <x:v>https://www.digikey.com/en/products/detail/same-sky-formerly-cui-devices/CMS-3652-28L200/29778294</x:v>
      </x:c>
      <x:c r="I17" s="3" t="str">
        <x:v>Three per supplied reference. Keep current amplifier design; actual loudness still requires testing.</x:v>
      </x:c>
    </x:row>
    <x:row r="18" ht="82" customHeight="1">
      <x:c r="A18" s="3" t="str">
        <x:v>TO-220 heatsink</x:v>
      </x:c>
      <x:c r="B18" s="3" t="str">
        <x:v>U1 heatsink</x:v>
      </x:c>
      <x:c r="C18" s="3" t="n">
        <x:f>BOM!C38</x:f>
        <x:v>2</x:v>
      </x:c>
      <x:c r="D18" s="7" t="n">
        <x:f>BOM!D38</x:f>
        <x:v>0.68</x:v>
      </x:c>
      <x:c r="E18" s="7" t="n">
        <x:f>BOM!E38</x:f>
        <x:v>1.36</x:v>
      </x:c>
      <x:c r="F18" s="3" t="str">
        <x:v>Digi-Key order</x:v>
      </x:c>
      <x:c r="G18" s="3" t="str">
        <x:v>ATS-PCBT1085</x:v>
      </x:c>
      <x:c r="H18" s="3" t="str">
        <x:v>https://www.digikey.com/en/products/detail/advanced-thermal-solutions-inc/ATS-PCBT1085/5030505</x:v>
      </x:c>
      <x:c r="I18" s="3" t="str">
        <x:v>Two selected within reference range 2-3. Clip attachment avoids separate screws. Verify temperature with actual regulator dissipation and enclosure.</x:v>
      </x:c>
    </x:row>
    <x:row r="19" ht="82" customHeight="1">
      <x:c r="A19" s="3" t="str">
        <x:v>Two-pin jumper shunt</x:v>
      </x:c>
      <x:c r="B19" s="3" t="str">
        <x:v>JP1, JP2 shunts</x:v>
      </x:c>
      <x:c r="C19" s="3" t="n">
        <x:f>BOM!C44</x:f>
        <x:v>6</x:v>
      </x:c>
      <x:c r="D19" s="7" t="n">
        <x:f>BOM!D44</x:f>
        <x:v>0.1</x:v>
      </x:c>
      <x:c r="E19" s="7" t="n">
        <x:f>BOM!E44</x:f>
        <x:v>0.6</x:v>
      </x:c>
      <x:c r="F19" s="3" t="str">
        <x:v>Digi-Key order</x:v>
      </x:c>
      <x:c r="G19" s="3" t="str">
        <x:v>SPC02SYAN</x:v>
      </x:c>
      <x:c r="H19" s="3" t="str">
        <x:v>https://www.digikey.com/en/products/detail/sullins-connector-solutions/SPC02SYAN/76375</x:v>
      </x:c>
      <x:c r="I19" s="3" t="str">
        <x:v>Six per supplied reference. Quantity 10 price is 0.029 each (0.29 total), cheaper than six at 0.10; retained six to follow reference quantities.</x:v>
      </x:c>
    </x:row>
    <x:row r="20" ht="5" customHeight="1">
      <x:c r="A20" s="3"/>
      <x:c r="B20" s="3"/>
      <x:c r="C20" s="3"/>
      <x:c r="D20" s="7"/>
      <x:c r="E20" s="7"/>
      <x:c r="F20" s="3"/>
      <x:c r="G20" s="3"/>
      <x:c r="H20" s="3"/>
      <x:c r="I20" s="3"/>
    </x:row>
    <x:row r="21" ht="5" customHeight="1">
      <x:c r="A21" s="3"/>
      <x:c r="B21" s="3"/>
      <x:c r="C21" s="3"/>
      <x:c r="D21" s="7"/>
      <x:c r="E21" s="7"/>
      <x:c r="F21" s="3"/>
      <x:c r="G21" s="3"/>
      <x:c r="H21" s="3"/>
      <x:c r="I21" s="3"/>
    </x:row>
    <x:row r="22" ht="5" customHeight="1">
      <x:c r="A22" s="3"/>
      <x:c r="B22" s="3"/>
      <x:c r="C22" s="3"/>
      <x:c r="D22" s="7"/>
      <x:c r="E22" s="7"/>
      <x:c r="F22" s="3"/>
      <x:c r="G22" s="3"/>
      <x:c r="H22" s="3"/>
      <x:c r="I22" s="3"/>
    </x:row>
    <x:row r="23" ht="5" customHeight="1">
      <x:c r="A23" s="3"/>
      <x:c r="B23" s="3"/>
      <x:c r="C23" s="3"/>
      <x:c r="D23" s="7"/>
      <x:c r="E23" s="7"/>
      <x:c r="F23" s="3"/>
      <x:c r="G23" s="3"/>
      <x:c r="H23" s="3"/>
      <x:c r="I23" s="3"/>
    </x:row>
    <x:row r="24" ht="5" customHeight="1">
      <x:c r="A24" s="3"/>
      <x:c r="B24" s="3"/>
      <x:c r="C24" s="3"/>
      <x:c r="D24" s="7"/>
      <x:c r="E24" s="7"/>
      <x:c r="F24" s="3"/>
      <x:c r="G24" s="3"/>
      <x:c r="H24" s="3"/>
      <x:c r="I24" s="3"/>
    </x:row>
    <x:row r="25" ht="5" customHeight="1">
      <x:c r="A25" s="3"/>
      <x:c r="B25" s="3"/>
      <x:c r="C25" s="3"/>
      <x:c r="D25" s="7"/>
      <x:c r="E25" s="7"/>
      <x:c r="F25" s="3"/>
      <x:c r="G25" s="3"/>
      <x:c r="H25" s="3"/>
      <x:c r="I25" s="3"/>
    </x:row>
    <x:row r="26" ht="5" customHeight="1">
      <x:c r="A26" s="3"/>
      <x:c r="B26" s="3"/>
      <x:c r="C26" s="3"/>
      <x:c r="D26" s="7"/>
      <x:c r="E26" s="7"/>
      <x:c r="F26" s="3"/>
      <x:c r="G26" s="3"/>
      <x:c r="H26" s="3"/>
      <x:c r="I26" s="3"/>
    </x:row>
    <x:row r="27" ht="92" customHeight="1">
      <x:c r="A27" s="3"/>
      <x:c r="B27" s="3"/>
      <x:c r="C27" s="3"/>
      <x:c r="D27" s="3"/>
      <x:c r="E27" s="3"/>
      <x:c r="F27" s="3"/>
      <x:c r="G27" s="3"/>
      <x:c r="H27" s="3"/>
      <x:c r="I27" s="3"/>
    </x:row>
    <x:row r="28" ht="92" customHeight="1">
      <x:c r="A28" s="3"/>
      <x:c r="B28" s="3"/>
      <x:c r="C28" s="3"/>
      <x:c r="D28" s="3"/>
      <x:c r="E28" s="3"/>
      <x:c r="F28" s="3"/>
      <x:c r="G28" s="3"/>
      <x:c r="H28" s="3"/>
      <x:c r="I28" s="3"/>
    </x:row>
    <x:row r="29" ht="44" customHeight="1">
      <x:c r="A29" s="3" t="str">
        <x:v>Before ordering</x:v>
      </x:c>
      <x:c r="B29" s="3" t="str">
        <x:v>Digi-Key: 11 items, $37.59. Peralta stock request: 7 items. C2 and C14 are purchased because their stock is not confirmed by the course planning sheet.</x:v>
      </x:c>
      <x:c r="C29" s="3"/>
      <x:c r="D29" s="3"/>
      <x:c r="E29" s="3"/>
      <x:c r="F29" s="3"/>
      <x:c r="G29" s="3"/>
      <x:c r="H29" s="3"/>
      <x:c r="I29" s="3"/>
    </x:row>
    <x:row r="30" ht="44" customHeight="1">
      <x:c r="A30" s="3" t="str">
        <x:v>Already available</x:v>
      </x:c>
      <x:c r="B30" s="3" t="str">
        <x:v>U1, U3, matching Nano headers, two 10 kohm pots, and confirmed kit parts are not repurchased. Their original manufacturer MPNs were not supplied.</x:v>
      </x:c>
      <x:c r="C30" s="3"/>
      <x:c r="D30" s="3"/>
      <x:c r="E30" s="3"/>
      <x:c r="F30" s="3"/>
      <x:c r="G30" s="3"/>
      <x:c r="H30" s="3"/>
      <x:c r="I30" s="3"/>
    </x:row>
    <x:row r="31" ht="44" customHeight="1">
      <x:c r="A31" s="3" t="str">
        <x:v>Class-issued items</x:v>
      </x:c>
      <x:c r="B31" s="3" t="str">
        <x:v>Nano board and 9 V adapter are treated as class-issued based on the supplied reference. Confirm receipt; neither is included in current spending.</x:v>
      </x:c>
      <x:c r="C31" s="3"/>
      <x:c r="D31" s="3"/>
      <x:c r="E31" s="3"/>
      <x:c r="F31" s="3"/>
      <x:c r="G31" s="3"/>
      <x:c r="H31" s="3"/>
      <x:c r="I31" s="3"/>
    </x:row>
    <x:row r="32" ht="44" customHeight="1">
      <x:c r="A32" s="3" t="str">
        <x:v>Team cable</x:v>
      </x:c>
      <x:c r="B32" s="3" t="str">
        <x:v>2x4 IDC ribbon cable remains a team decision. Its buyer, length and quantity are not established; excluded from this individual order and not assigned a zero price.</x:v>
      </x:c>
      <x:c r="C32" s="3"/>
      <x:c r="D32" s="3"/>
      <x:c r="E32" s="3"/>
      <x:c r="F32" s="3"/>
      <x:c r="G32" s="3"/>
      <x:c r="H32" s="3"/>
      <x:c r="I32" s="3"/>
    </x:row>
    <x:row r="33" ht="44" customHeight="1">
      <x:c r="A33" s="3" t="str">
        <x:v>Electrical checks</x:v>
      </x:c>
      <x:c r="B33" s="3" t="str">
        <x:v>F1 fast/slow response, J3 plug fit/polarity, and approval of the LCD module need confirmation before ordering. These are specific selection checks, not missing price quotes.</x:v>
      </x:c>
      <x:c r="C33" s="3"/>
      <x:c r="D33" s="3"/>
      <x:c r="E33" s="3"/>
      <x:c r="F33" s="3"/>
      <x:c r="G33" s="3"/>
      <x:c r="H33" s="3"/>
      <x:c r="I33" s="3"/>
    </x:row>
    <x:row r="34" ht="44" customHeight="1">
      <x:c r="A34" s="3" t="str">
        <x:v>PCB checks</x:v>
      </x:c>
      <x:c r="B34" s="3" t="str">
        <x:v>Purchased C2/C9, C14, trimmers, fuse holder and connectors require actual package/pin mapping. Workbook updates do not change the KiCad schematic or PCB.</x:v>
      </x:c>
      <x:c r="C34" s="3"/>
      <x:c r="D34" s="3"/>
      <x:c r="E34" s="3"/>
      <x:c r="F34" s="3"/>
      <x:c r="G34" s="3"/>
      <x:c r="H34" s="3"/>
      <x:c r="I34" s="3"/>
    </x:row>
    <x:row r="35" ht="44" customHeight="1">
      <x:c r="A35" s="3" t="str">
        <x:v>Header allocation</x:v>
      </x:c>
      <x:c r="B35" s="3" t="str">
        <x:v>3 x 40 pins = 120. LCD male 48 + J6 30 + JP1/JP2 headers 12 + test points 14 = 104 pins used, 16 spare. Cost is counted once.</x:v>
      </x:c>
      <x:c r="C35" s="3"/>
      <x:c r="D35" s="3"/>
      <x:c r="E35" s="3"/>
      <x:c r="F35" s="3"/>
      <x:c r="G35" s="3"/>
      <x:c r="H35" s="3"/>
      <x:c r="I35" s="3"/>
    </x:row>
    <x:row r="36" ht="44" customHeight="1">
      <x:c r="A36" s="3" t="str">
        <x:v>Cost saving option</x:v>
      </x:c>
      <x:c r="B36" s="3" t="str">
        <x:v>Six shunts cost $0.60. Buying ten at the retrieved 10-piece tier costs $0.29 instead; change quantity and unit price together if chosen.</x:v>
      </x:c>
      <x:c r="C36" s="3"/>
      <x:c r="D36" s="3"/>
      <x:c r="E36" s="3"/>
      <x:c r="F36" s="3"/>
      <x:c r="G36" s="3"/>
      <x:c r="H36" s="3"/>
      <x:c r="I36" s="3"/>
    </x:row>
    <x:row r="37" ht="66" customHeight="1">
      <x:c r="A37" s="3" t="str">
        <x:v>Course budget exclusions</x:v>
      </x:c>
      <x:c r="B37" s="3" t="str">
        <x:v>Items matched to the course-designated Peralta planning sheet are sourced from PRLTA and excluded from the $60 allowance. Requested issue quantities are not a receipt record. Tax/shipping treatment remains for the instructor to confirm.</x:v>
      </x:c>
      <x:c r="C37" s="3"/>
      <x:c r="D37" s="3"/>
      <x:c r="E37" s="3"/>
      <x:c r="F37" s="3"/>
      <x:c r="G37" s="3"/>
      <x:c r="H37" s="3"/>
      <x:c r="I37" s="3"/>
    </x:row>
    <x:row r="38" ht="66" customHeight="1">
      <x:c r="A38" s="3" t="str">
        <x:v>Sample BOM cost</x:v>
      </x:c>
      <x:c r="B38" s="3" t="str">
        <x:v>The order subtotal includes spares. See Single Board Cost for separate one-unit valuation; the team MF-05 $150 target is not the individual $60 allowance.</x:v>
      </x:c>
      <x:c r="C38" s="3"/>
      <x:c r="D38" s="3"/>
      <x:c r="E38" s="3"/>
      <x:c r="F38" s="3"/>
      <x:c r="G38" s="3"/>
      <x:c r="H38" s="3"/>
      <x:c r="I38" s="3"/>
    </x:row>
    <x:row r="39" ht="36" customHeight="1">
      <x:c r="A39" s="3"/>
      <x:c r="B39" s="3"/>
      <x:c r="C39" s="3"/>
      <x:c r="D39" s="3"/>
      <x:c r="E39" s="3"/>
      <x:c r="F39" s="3"/>
      <x:c r="G39" s="3"/>
      <x:c r="H39" s="3"/>
      <x:c r="I39" s="3"/>
    </x:row>
  </x:sheetData>
  <x:mergeCells>
    <x:mergeCell ref="B29:I29"/>
    <x:mergeCell ref="B30:I30"/>
    <x:mergeCell ref="B31:I31"/>
    <x:mergeCell ref="B32:I32"/>
    <x:mergeCell ref="B33:I33"/>
    <x:mergeCell ref="B34:I34"/>
    <x:mergeCell ref="B35:I35"/>
    <x:mergeCell ref="B36:I36"/>
    <x:mergeCell ref="B37:I37"/>
    <x:mergeCell ref="B38:I38"/>
    <x:mergeCell ref="E4:G4"/>
  </x:mergeCells>
  <x:conditionalFormatting sqref="E4:E4">
    <x:cfRule type="containsText" dxfId="0" priority="1" operator="containsText" text="OVER BUDGET"/>
  </x:conditionalFormatting>
  <x:pageMargins left="0.7" right="0.7" top="0.75" bottom="0.75" header="0.3" footer="0.3"/>
  <x:tableParts count="1">
    <x:tablePart xmlns:r="http://schemas.openxmlformats.org/officeDocument/2006/relationships" r:id="Rf5df247ae1db421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3" hidden="0" customWidth="1"/>
    <x:col min="2" max="2" width="15" hidden="0" customWidth="1"/>
    <x:col min="3" max="3" width="12" hidden="0" customWidth="1"/>
    <x:col min="4" max="4" width="14" hidden="0" customWidth="1"/>
    <x:col min="5" max="5" width="14" hidden="0" customWidth="1"/>
    <x:col min="6" max="6" width="23" hidden="0" customWidth="1"/>
    <x:col min="7" max="7" width="29" hidden="0" customWidth="1"/>
    <x:col min="8" max="8" width="35" hidden="0" customWidth="1"/>
    <x:col min="9" max="9" width="60" hidden="0" customWidth="1"/>
    <x:col min="10" max="10" width="45" hidden="0" customWidth="1"/>
    <x:col min="11" max="11" width="28" hidden="0" customWidth="1"/>
    <x:col min="12" max="12" width="27" hidden="0" customWidth="1"/>
    <x:col min="13" max="13" width="49" hidden="0" customWidth="1"/>
    <x:col min="14" max="14" width="90" hidden="0" customWidth="1"/>
    <x:col min="15" max="15" width="15" hidden="0" customWidth="1"/>
    <x:col min="16" max="16" width="18" hidden="0" customWidth="1"/>
    <x:col min="17" max="17" width="34" hidden="0" customWidth="1"/>
  </x:cols>
  <x:sheetData>
    <x:row r="1" ht="42" customHeight="1">
      <x:c r="A1" s="5" t="str">
        <x:v>Part Name/Description</x:v>
      </x:c>
      <x:c r="B1" s="5" t="str">
        <x:v>Qty per Board / System</x:v>
      </x:c>
      <x:c r="C1" s="5" t="str">
        <x:v>Order Qty</x:v>
      </x:c>
      <x:c r="D1" s="5" t="str">
        <x:v>Unit Cost (USD)</x:v>
      </x:c>
      <x:c r="E1" s="5" t="str">
        <x:v>Total Cost (USD)</x:v>
      </x:c>
      <x:c r="F1" s="5" t="str">
        <x:v>Manufacturer</x:v>
      </x:c>
      <x:c r="G1" s="5" t="str">
        <x:v>Manufacturer #</x:v>
      </x:c>
      <x:c r="H1" s="5" t="str">
        <x:v>Vendor / Source to Check</x:v>
      </x:c>
      <x:c r="I1" s="5" t="str">
        <x:v>Vendor Link / Stock Location</x:v>
      </x:c>
      <x:c r="J1" s="5" t="str">
        <x:v>Datasheet</x:v>
      </x:c>
      <x:c r="K1" s="5" t="str">
        <x:v>Ref Designators</x:v>
      </x:c>
      <x:c r="L1" s="5" t="str">
        <x:v>Alternate</x:v>
      </x:c>
      <x:c r="M1" s="5" t="str">
        <x:v>Footprint / Package</x:v>
      </x:c>
      <x:c r="N1" s="5" t="str">
        <x:v>Notes</x:v>
      </x:c>
      <x:c r="O1" s="5" t="str">
        <x:v>Planned Total Qty</x:v>
      </x:c>
      <x:c r="P1" s="5" t="str">
        <x:v>Confirmed Available Qty</x:v>
      </x:c>
      <x:c r="Q1" s="5" t="str">
        <x:v>Procurement Status</x:v>
      </x:c>
    </x:row>
    <x:row r="2" ht="96" customHeight="1">
      <x:c r="A2" s="3" t="str">
        <x:v>Nonpolar ceramic capacitor, 0.33 uF 50 V</x:v>
      </x:c>
      <x:c r="B2" s="3" t="n">
        <x:v>1</x:v>
      </x:c>
      <x:c r="C2" s="3" t="n">
        <x:v>4</x:v>
      </x:c>
      <x:c r="D2" s="7" t="n">
        <x:v>0.37</x:v>
      </x:c>
      <x:c r="E2" s="7" t="n">
        <x:f>ROUND(C2*D2,2)</x:f>
        <x:v>1.48</x:v>
      </x:c>
      <x:c r="F2" s="3" t="str">
        <x:v>TDK</x:v>
      </x:c>
      <x:c r="G2" s="3" t="str">
        <x:v>FA28X7R1H334KRU00</x:v>
      </x:c>
      <x:c r="H2" s="3" t="str">
        <x:v>Digi-Key</x:v>
      </x:c>
      <x:c r="I2" s="3" t="str">
        <x:v>https://www.digikey.com/en/products/detail/tdk/FA28X7R1H334KRU00/7384656</x:v>
      </x:c>
      <x:c r="J2" s="3" t="str">
        <x:v>https://product.tdk.com/en/system/files/dam/doc/product/capacitor/ceramic/lead-mlcc/catalog/leadmlcc_halogenfree_fa_en.pdf</x:v>
      </x:c>
      <x:c r="K2" s="3" t="str">
        <x:v>C2</x:v>
      </x:c>
      <x:c r="L2" s="3"/>
      <x:c r="M2" s="3" t="str">
        <x:v>Radial, 4.0 x 2.5 mm body, 5.00 mm lead pitch</x:v>
      </x:c>
      <x:c r="N2" s="3" t="str">
        <x:v>0.33 uF 50 V X7R nonpolar. Course-list row 104 is under Not Necessary this Fall and is not treated as issued stock. Selected active part: $0.37 each, 446 in stock when checked.</x:v>
      </x:c>
      <x:c r="O2" s="8" t="n">
        <x:v>4</x:v>
      </x:c>
      <x:c r="P2" s="8" t="n">
        <x:v>0</x:v>
      </x:c>
      <x:c r="Q2" s="3" t="str">
        <x:v>Buy</x:v>
      </x:c>
    </x:row>
    <x:row r="3" ht="96" customHeight="1">
      <x:c r="A3" s="3" t="str">
        <x:v>Nonpolar capacitor, 0.1uF 50V</x:v>
      </x:c>
      <x:c r="B3" s="3" t="n">
        <x:v>1</x:v>
      </x:c>
      <x:c r="C3" s="3" t="n">
        <x:f>IF(OR(Q3="Available; check spare quantity",Q3="Covered by shared strips",Q3="Class-issued; verify receipt",Q3="Team decision"),0,IF(AND(ISNUMBER(O3),ISNUMBER(P3)),MAX(O3-P3,0),""))</x:f>
        <x:v>0</x:v>
      </x:c>
      <x:c r="D3" s="7"/>
      <x:c r="E3" s="7" t="n">
        <x:f>IF(ISNUMBER(C3),IF(C3=0,0,IF(ISNUMBER(D3),ROUND(C3*D3,2),"")),"")</x:f>
        <x:v>0</x:v>
      </x:c>
      <x:c r="F3" s="3"/>
      <x:c r="G3" s="3"/>
      <x:c r="H3" s="3" t="str">
        <x:v>Provided kit</x:v>
      </x:c>
      <x:c r="I3" s="3"/>
      <x:c r="J3" s="3"/>
      <x:c r="K3" s="3" t="str">
        <x:v>C3</x:v>
      </x:c>
      <x:c r="L3" s="3"/>
      <x:c r="M3" s="3" t="str">
        <x:v>Capacitor_THT:C_Disc_D5.0mm_W2.5mm_P5.00mm</x:v>
      </x:c>
      <x:c r="N3" s="3" t="str">
        <x:v>User confirmed kit quantities are sufficient for matching parts. Exact spare count and manufacturer MPN not recorded. Do not repurchase before checking.</x:v>
      </x:c>
      <x:c r="O3" s="8" t="n">
        <x:v>4</x:v>
      </x:c>
      <x:c r="P3" s="8"/>
      <x:c r="Q3" s="3" t="str">
        <x:v>Available; check spare quantity</x:v>
      </x:c>
    </x:row>
    <x:row r="4" ht="96" customHeight="1">
      <x:c r="A4" s="3" t="str">
        <x:v>Nonpolar capacitor, 0.1uF 16V</x:v>
      </x:c>
      <x:c r="B4" s="3" t="n">
        <x:v>6</x:v>
      </x:c>
      <x:c r="C4" s="3" t="n">
        <x:f>IF(OR(Q4="Available; check spare quantity",Q4="Covered by shared strips",Q4="Class-issued; verify receipt",Q4="Team decision"),0,IF(AND(ISNUMBER(O4),ISNUMBER(P4)),MAX(O4-P4,0),""))</x:f>
        <x:v>0</x:v>
      </x:c>
      <x:c r="D4" s="7"/>
      <x:c r="E4" s="7" t="n">
        <x:f>IF(ISNUMBER(C4),IF(C4=0,0,IF(ISNUMBER(D4),ROUND(C4*D4,2),"")),"")</x:f>
        <x:v>0</x:v>
      </x:c>
      <x:c r="F4" s="3"/>
      <x:c r="G4" s="3"/>
      <x:c r="H4" s="3" t="str">
        <x:v>Provided kit</x:v>
      </x:c>
      <x:c r="I4" s="3"/>
      <x:c r="J4" s="3"/>
      <x:c r="K4" s="3" t="str">
        <x:v>C5, C8, C16, C17, C18, C19</x:v>
      </x:c>
      <x:c r="L4" s="3"/>
      <x:c r="M4" s="3" t="str">
        <x:v>Capacitor_THT:C_Disc_D5.0mm_W2.5mm_P5.00mm</x:v>
      </x:c>
      <x:c r="N4" s="3" t="str">
        <x:v>User confirmed kit quantities are sufficient for matching parts. Exact spare count and manufacturer MPN not recorded. Do not repurchase before checking.</x:v>
      </x:c>
      <x:c r="O4" s="8" t="n">
        <x:v>14</x:v>
      </x:c>
      <x:c r="P4" s="8"/>
      <x:c r="Q4" s="3" t="str">
        <x:v>Available; check spare quantity</x:v>
      </x:c>
    </x:row>
    <x:row r="5" ht="96" customHeight="1">
      <x:c r="A5" s="3" t="str">
        <x:v>Nonpolar ceramic capacitor, 1 uF 50 V (16 V minimum)</x:v>
      </x:c>
      <x:c r="B5" s="3" t="n">
        <x:v>1</x:v>
      </x:c>
      <x:c r="C5" s="3" t="n">
        <x:f>IF(OR(Q5="Available; check spare quantity",Q5="Covered by shared strips",Q5="Class-issued; verify receipt",Q5="Team decision"),0,IF(AND(ISNUMBER(O5),ISNUMBER(P5)),MAX(O5-P5,0),""))</x:f>
        <x:v>4</x:v>
      </x:c>
      <x:c r="D5" s="7" t="n">
        <x:v>0.31</x:v>
      </x:c>
      <x:c r="E5" s="7" t="n">
        <x:f>IF(ISNUMBER(C5),IF(C5=0,0,IF(ISNUMBER(D5),ROUND(C5*D5,2),"")),"")</x:f>
        <x:v>1.24</x:v>
      </x:c>
      <x:c r="F5" s="3" t="str">
        <x:v>TDK</x:v>
      </x:c>
      <x:c r="G5" s="3" t="str">
        <x:v>FG28X5R1H105KRT00</x:v>
      </x:c>
      <x:c r="H5" s="3" t="str">
        <x:v>Digi-Key</x:v>
      </x:c>
      <x:c r="I5" s="3" t="str">
        <x:v>https://www.digikey.com/en/products/detail/tdk/FG28X5R1H105KRT00/7384818</x:v>
      </x:c>
      <x:c r="J5" s="3" t="str">
        <x:v>https://product.tdk.com/system/files/dam/doc/product/capacitor/ceramic/lead-mlcc/chara_sheet/fg28x5r1h105krt00.pdf</x:v>
      </x:c>
      <x:c r="K5" s="3" t="str">
        <x:v>C9</x:v>
      </x:c>
      <x:c r="L5" s="3"/>
      <x:c r="M5" s="3" t="str">
        <x:v>Radial, 5.00 mm pitch, 4.0 x 2.5 mm body</x:v>
      </x:c>
      <x:c r="N5" s="3" t="str">
        <x:v>1 uF 50 V nonpolar ceramic; exceeds original 16 V rating. X5R capacitance varies with bias; verify audio response. Match radial footprint.</x:v>
      </x:c>
      <x:c r="O5" s="8" t="n">
        <x:v>4</x:v>
      </x:c>
      <x:c r="P5" s="8" t="n">
        <x:v>0</x:v>
      </x:c>
      <x:c r="Q5" s="3" t="str">
        <x:v>Buy</x:v>
      </x:c>
    </x:row>
    <x:row r="6" ht="96" customHeight="1">
      <x:c r="A6" s="3" t="str">
        <x:v>Electrolytic capacitor, 220 uF 16 V</x:v>
      </x:c>
      <x:c r="B6" s="3" t="n">
        <x:v>1</x:v>
      </x:c>
      <x:c r="C6" s="3" t="n">
        <x:v>4</x:v>
      </x:c>
      <x:c r="D6" s="7" t="n">
        <x:v>0.45</x:v>
      </x:c>
      <x:c r="E6" s="7" t="n">
        <x:f>ROUND(C6*D6,2)</x:f>
        <x:v>1.8</x:v>
      </x:c>
      <x:c r="F6" s="3" t="str">
        <x:v>Rubycon</x:v>
      </x:c>
      <x:c r="G6" s="3" t="str">
        <x:v>16YXJ220MCR6.3X11</x:v>
      </x:c>
      <x:c r="H6" s="3" t="str">
        <x:v>Digi-Key</x:v>
      </x:c>
      <x:c r="I6" s="3" t="str">
        <x:v>https://www.digikey.com/en/products/detail/rubycon/16YXJ220MCR6-3X11/5429971</x:v>
      </x:c>
      <x:c r="J6" s="3" t="str">
        <x:v>https://www.rubycon.co.jp/wp-content/uploads/catalog-aluminum/YXJ.pdf</x:v>
      </x:c>
      <x:c r="K6" s="3" t="str">
        <x:v>C14</x:v>
      </x:c>
      <x:c r="L6" s="3" t="str">
        <x:v>16YXJ220M6.3X11 (verify stock; same nominal C/V/pitch)</x:v>
      </x:c>
      <x:c r="M6" s="3" t="str">
        <x:v>Radial D6.3 mm, 2.50 mm pitch, max seated height 12.5 mm</x:v>
      </x:c>
      <x:c r="N6" s="3" t="str">
        <x:v>220 uF 16 V polarized. Course-list row 41 has no order confirmation, so it is purchased. Active Rubycon part, $0.45 each, 2654 in stock when checked. Verify positive pad and clearance.</x:v>
      </x:c>
      <x:c r="O6" s="8" t="n">
        <x:v>4</x:v>
      </x:c>
      <x:c r="P6" s="8" t="n">
        <x:v>0</x:v>
      </x:c>
      <x:c r="Q6" s="3" t="str">
        <x:v>Buy</x:v>
      </x:c>
    </x:row>
    <x:row r="7" ht="96" customHeight="1">
      <x:c r="A7" s="3" t="str">
        <x:v>Nonpolar capacitor, 0.1uF 16V(LCD VDD)</x:v>
      </x:c>
      <x:c r="B7" s="3" t="n">
        <x:v>1</x:v>
      </x:c>
      <x:c r="C7" s="3" t="n">
        <x:f>IF(OR(Q7="Available; check spare quantity",Q7="Covered by shared strips",Q7="Class-issued; verify receipt",Q7="Team decision"),0,IF(AND(ISNUMBER(O7),ISNUMBER(P7)),MAX(O7-P7,0),""))</x:f>
        <x:v>0</x:v>
      </x:c>
      <x:c r="D7" s="7"/>
      <x:c r="E7" s="7" t="n">
        <x:f>IF(ISNUMBER(C7),IF(C7=0,0,IF(ISNUMBER(D7),ROUND(C7*D7,2),"")),"")</x:f>
        <x:v>0</x:v>
      </x:c>
      <x:c r="F7" s="3"/>
      <x:c r="G7" s="3"/>
      <x:c r="H7" s="3" t="str">
        <x:v>Provided kit</x:v>
      </x:c>
      <x:c r="I7" s="3"/>
      <x:c r="J7" s="3"/>
      <x:c r="K7" s="3" t="str">
        <x:v>C15</x:v>
      </x:c>
      <x:c r="L7" s="3"/>
      <x:c r="M7" s="3" t="str">
        <x:v>Capacitor_THT:C_Disc_D5.0mm_W2.5mm_P5.00mm</x:v>
      </x:c>
      <x:c r="N7" s="3" t="str">
        <x:v>User confirmed kit quantities are sufficient for matching parts. Exact spare count and manufacturer MPN not recorded. Do not repurchase before checking.</x:v>
      </x:c>
      <x:c r="O7" s="8" t="n">
        <x:v>2</x:v>
      </x:c>
      <x:c r="P7" s="8"/>
      <x:c r="Q7" s="3" t="str">
        <x:v>Available; check spare quantity</x:v>
      </x:c>
    </x:row>
    <x:row r="8" ht="96" customHeight="1">
      <x:c r="A8" s="3" t="str">
        <x:v>GreenLED（Power)</x:v>
      </x:c>
      <x:c r="B8" s="3" t="n">
        <x:v>1</x:v>
      </x:c>
      <x:c r="C8" s="3" t="n">
        <x:f>IF(OR(Q8="Available; check spare quantity",Q8="Covered by shared strips",Q8="Class-issued; verify receipt",Q8="Team decision"),0,IF(AND(ISNUMBER(O8),ISNUMBER(P8)),MAX(O8-P8,0),""))</x:f>
        <x:v>0</x:v>
      </x:c>
      <x:c r="D8" s="7"/>
      <x:c r="E8" s="7" t="n">
        <x:f>IF(ISNUMBER(C8),IF(C8=0,0,IF(ISNUMBER(D8),ROUND(C8*D8,2),"")),"")</x:f>
        <x:v>0</x:v>
      </x:c>
      <x:c r="F8" s="3"/>
      <x:c r="G8" s="3"/>
      <x:c r="H8" s="3" t="str">
        <x:v>Provided kit</x:v>
      </x:c>
      <x:c r="I8" s="3"/>
      <x:c r="J8" s="3"/>
      <x:c r="K8" s="3" t="str">
        <x:v>D1</x:v>
      </x:c>
      <x:c r="L8" s="3"/>
      <x:c r="M8" s="3"/>
      <x:c r="N8" s="3" t="str">
        <x:v>User confirmed kit quantities are sufficient for matching parts. Exact spare count and manufacturer MPN not recorded. Do not repurchase before checking.</x:v>
      </x:c>
      <x:c r="O8" s="8" t="n">
        <x:v>4</x:v>
      </x:c>
      <x:c r="P8" s="8"/>
      <x:c r="Q8" s="3" t="str">
        <x:v>Available; check spare quantity</x:v>
      </x:c>
    </x:row>
    <x:row r="9" ht="96" customHeight="1">
      <x:c r="A9" s="3" t="str">
        <x:v>Red LED(debug)</x:v>
      </x:c>
      <x:c r="B9" s="3" t="n">
        <x:v>1</x:v>
      </x:c>
      <x:c r="C9" s="3" t="n">
        <x:f>IF(OR(Q9="Available; check spare quantity",Q9="Covered by shared strips",Q9="Class-issued; verify receipt",Q9="Team decision"),0,IF(AND(ISNUMBER(O9),ISNUMBER(P9)),MAX(O9-P9,0),""))</x:f>
        <x:v>0</x:v>
      </x:c>
      <x:c r="D9" s="7"/>
      <x:c r="E9" s="7" t="n">
        <x:f>IF(ISNUMBER(C9),IF(C9=0,0,IF(ISNUMBER(D9),ROUND(C9*D9,2),"")),"")</x:f>
        <x:v>0</x:v>
      </x:c>
      <x:c r="F9" s="3"/>
      <x:c r="G9" s="3"/>
      <x:c r="H9" s="3" t="str">
        <x:v>Provided kit</x:v>
      </x:c>
      <x:c r="I9" s="3"/>
      <x:c r="J9" s="3"/>
      <x:c r="K9" s="3" t="str">
        <x:v>D2</x:v>
      </x:c>
      <x:c r="L9" s="3"/>
      <x:c r="M9" s="3"/>
      <x:c r="N9" s="3" t="str">
        <x:v>User confirmed kit quantities are sufficient for matching parts. Exact spare count and manufacturer MPN not recorded. Do not repurchase before checking.</x:v>
      </x:c>
      <x:c r="O9" s="8" t="n">
        <x:v>4</x:v>
      </x:c>
      <x:c r="P9" s="8"/>
      <x:c r="Q9" s="3" t="str">
        <x:v>Available; check spare quantity</x:v>
      </x:c>
    </x:row>
    <x:row r="10" ht="96" customHeight="1">
      <x:c r="A10" s="3" t="str">
        <x:v>Schottky diode, reverse-polarity protection</x:v>
      </x:c>
      <x:c r="B10" s="3" t="n">
        <x:v>1</x:v>
      </x:c>
      <x:c r="C10" s="3" t="n">
        <x:f>IF(OR(Q10="Available; check spare quantity",Q10="Covered by shared strips",Q10="Class-issued; verify receipt",Q10="Team decision"),0,IF(AND(ISNUMBER(O10),ISNUMBER(P10)),MAX(O10-P10,0),""))</x:f>
        <x:v>4</x:v>
      </x:c>
      <x:c r="D10" s="7" t="n">
        <x:v>0.71</x:v>
      </x:c>
      <x:c r="E10" s="7" t="n">
        <x:f>IF(ISNUMBER(C10),IF(C10=0,0,IF(ISNUMBER(D10),ROUND(C10*D10,2),"")),"")</x:f>
        <x:v>2.84</x:v>
      </x:c>
      <x:c r="F10" s="3" t="str">
        <x:v>Taiwan Semiconductor</x:v>
      </x:c>
      <x:c r="G10" s="3" t="str">
        <x:v>1N5822</x:v>
      </x:c>
      <x:c r="H10" s="3" t="str">
        <x:v>Digi-Key</x:v>
      </x:c>
      <x:c r="I10" s="3" t="str">
        <x:v>https://www.digikey.com/en/products/detail/taiwan-semiconductor-corporation/1N5822/7366597</x:v>
      </x:c>
      <x:c r="J10" s="3" t="str">
        <x:v>https://services.taiwansemi.com/storage/resources/datasheet/1N5820%20SERIES_I2105.pdf</x:v>
      </x:c>
      <x:c r="K10" s="3" t="str">
        <x:v>D3</x:v>
      </x:c>
      <x:c r="L10" s="3" t="str">
        <x:v>Vishay 1N5822-E3/54 (DO-201AD; verify characteristics)</x:v>
      </x:c>
      <x:c r="M10" s="3" t="str">
        <x:v>DO-201AD axial through-hole</x:v>
      </x:c>
      <x:c r="N10" s="3" t="str">
        <x:v>40 V 3 A Schottky. Select Cut Tape, not full reel. Existing kit rectifier is not assumed equivalent.</x:v>
      </x:c>
      <x:c r="O10" s="8" t="n">
        <x:v>4</x:v>
      </x:c>
      <x:c r="P10" s="8" t="n">
        <x:v>0</x:v>
      </x:c>
      <x:c r="Q10" s="3" t="str">
        <x:v>Buy</x:v>
      </x:c>
    </x:row>
    <x:row r="11" ht="96" customHeight="1">
      <x:c r="A11" s="3" t="str">
        <x:v>1.5 A, 5 x 20 mm cartridge fuse</x:v>
      </x:c>
      <x:c r="B11" s="3" t="n">
        <x:v>1</x:v>
      </x:c>
      <x:c r="C11" s="3" t="n">
        <x:v>4</x:v>
      </x:c>
      <x:c r="D11" s="7"/>
      <x:c r="E11" s="7" t="str">
        <x:v>Excluded (PRLTA)</x:v>
      </x:c>
      <x:c r="F11" s="3" t="str">
        <x:v>NTE</x:v>
      </x:c>
      <x:c r="G11" s="3" t="str">
        <x:v>74-5FG1.5A (course-list candidate)</x:v>
      </x:c>
      <x:c r="H11" s="3" t="str">
        <x:v>Peralta / PRLTA</x:v>
      </x:c>
      <x:c r="I11" s="3" t="str">
        <x:v>https://www.dropbox.com/scl/fi/2vn7lf6sw42n8gvxrnfy8/Spring-2023-Order-Planning.xlsx?rlkey=sb7mjh9vm48ac2a8zcb9fryed&amp;dl=0</x:v>
      </x:c>
      <x:c r="J11" s="3" t="str">
        <x:v>https://www.dropbox.com/scl/fi/2vn7lf6sw42n8gvxrnfy8/Spring-2023-Order-Planning.xlsx?rlkey=sb7mjh9vm48ac2a8zcb9fryed&amp;dl=0</x:v>
      </x:c>
      <x:c r="K11" s="3" t="str">
        <x:v>F1</x:v>
      </x:c>
      <x:c r="L11" s="3"/>
      <x:c r="M11" s="3" t="str">
        <x:v>Use actual issued-part package</x:v>
      </x:c>
      <x:c r="N11" s="3" t="str">
        <x:v>Course list row 87; not a shelf/bin number. List links NTE 74-5FG1.5A; verify the required fast/slow characteristic before assembly. Required quantity is a request, not a claim of receipt. Former Digi-Key MPN BK/GMA-1.5-R is a backup reference only.</x:v>
      </x:c>
      <x:c r="O11" s="8" t="n">
        <x:v>4</x:v>
      </x:c>
      <x:c r="P11" s="8" t="n">
        <x:v>0</x:v>
      </x:c>
      <x:c r="Q11" s="3" t="str">
        <x:v>Peralta request</x:v>
      </x:c>
    </x:row>
    <x:row r="12" ht="96" customHeight="1">
      <x:c r="A12" s="3" t="str">
        <x:v>Shrouded ribbon header, 2 x 4</x:v>
      </x:c>
      <x:c r="B12" s="3" t="n">
        <x:v>1</x:v>
      </x:c>
      <x:c r="C12" s="3" t="n">
        <x:f>IF(OR(Q12="Available; check spare quantity",Q12="Covered by shared strips",Q12="Class-issued; verify receipt",Q12="Team decision"),0,IF(AND(ISNUMBER(O12),ISNUMBER(P12)),MAX(O12-P12,0),""))</x:f>
        <x:v>3</x:v>
      </x:c>
      <x:c r="D12" s="7" t="n">
        <x:v>1.03</x:v>
      </x:c>
      <x:c r="E12" s="7" t="n">
        <x:f>IF(ISNUMBER(C12),IF(C12=0,0,IF(ISNUMBER(D12),ROUND(C12*D12,2),"")),"")</x:f>
        <x:v>3.09</x:v>
      </x:c>
      <x:c r="F12" s="3" t="str">
        <x:v>Wurth Elektronik</x:v>
      </x:c>
      <x:c r="G12" s="3" t="str">
        <x:v>61200821621</x:v>
      </x:c>
      <x:c r="H12" s="3" t="str">
        <x:v>Digi-Key</x:v>
      </x:c>
      <x:c r="I12" s="3" t="str">
        <x:v>https://www.digikey.com/en/products/detail/w%C3%BCrth-elektronik/61200821621/4846916</x:v>
      </x:c>
      <x:c r="J12" s="3" t="str">
        <x:v>https://www.we-online.com/components/products/datasheet/61200821621.pdf</x:v>
      </x:c>
      <x:c r="K12" s="3" t="str">
        <x:v>J1</x:v>
      </x:c>
      <x:c r="L12" s="3"/>
      <x:c r="M12" s="3" t="str">
        <x:v>2 x 4 shrouded male, 2.54 mm</x:v>
      </x:c>
      <x:c r="N12" s="3" t="str">
        <x:v>Match numbered pins, key orientation and the teammate cable before PCB.</x:v>
      </x:c>
      <x:c r="O12" s="8" t="n">
        <x:v>3</x:v>
      </x:c>
      <x:c r="P12" s="8" t="n">
        <x:v>0</x:v>
      </x:c>
      <x:c r="Q12" s="3" t="str">
        <x:v>Buy</x:v>
      </x:c>
    </x:row>
    <x:row r="13" ht="96" customHeight="1">
      <x:c r="A13" s="3" t="str">
        <x:v>PJ-102AH through-hole DC barrel jack</x:v>
      </x:c>
      <x:c r="B13" s="3" t="n">
        <x:v>1</x:v>
      </x:c>
      <x:c r="C13" s="3" t="n">
        <x:v>3</x:v>
      </x:c>
      <x:c r="D13" s="7"/>
      <x:c r="E13" s="7" t="str">
        <x:v>Excluded (PRLTA)</x:v>
      </x:c>
      <x:c r="F13" s="3" t="str">
        <x:v>Same Sky / CUI</x:v>
      </x:c>
      <x:c r="G13" s="3" t="str">
        <x:v>PJ-102AH</x:v>
      </x:c>
      <x:c r="H13" s="3" t="str">
        <x:v>Peralta / PRLTA</x:v>
      </x:c>
      <x:c r="I13" s="3" t="str">
        <x:v>https://www.dropbox.com/scl/fi/2vn7lf6sw42n8gvxrnfy8/Spring-2023-Order-Planning.xlsx?rlkey=sb7mjh9vm48ac2a8zcb9fryed&amp;dl=0</x:v>
      </x:c>
      <x:c r="J13" s="3" t="str">
        <x:v>https://www.dropbox.com/scl/fi/2vn7lf6sw42n8gvxrnfy8/Spring-2023-Order-Planning.xlsx?rlkey=sb7mjh9vm48ac2a8zcb9fryed&amp;dl=0</x:v>
      </x:c>
      <x:c r="K13" s="3" t="str">
        <x:v>J3</x:v>
      </x:c>
      <x:c r="L13" s="3"/>
      <x:c r="M13" s="3" t="str">
        <x:v>Use actual issued-part package</x:v>
      </x:c>
      <x:c r="N13" s="3" t="str">
        <x:v>Course list row 64; not a shelf/bin number. Exact list match; check adapter plug and polarity. Required quantity is a request, not a claim of receipt. Former Digi-Key MPN PJ-102AH is a backup reference only.</x:v>
      </x:c>
      <x:c r="O13" s="8" t="n">
        <x:v>3</x:v>
      </x:c>
      <x:c r="P13" s="8" t="n">
        <x:v>0</x:v>
      </x:c>
      <x:c r="Q13" s="3" t="str">
        <x:v>Peralta request</x:v>
      </x:c>
    </x:row>
    <x:row r="14" ht="96" customHeight="1">
      <x:c r="A14" s="3" t="str">
        <x:v>16 x 2 character LCD module</x:v>
      </x:c>
      <x:c r="B14" s="3" t="n">
        <x:v>1</x:v>
      </x:c>
      <x:c r="C14" s="3" t="n">
        <x:f>IF(OR(Q14="Available; check spare quantity",Q14="Covered by shared strips",Q14="Class-issued; verify receipt",Q14="Team decision"),0,IF(AND(ISNUMBER(O14),ISNUMBER(P14)),MAX(O14-P14,0),""))</x:f>
        <x:v>2</x:v>
      </x:c>
      <x:c r="D14" s="7" t="n">
        <x:v>8.11</x:v>
      </x:c>
      <x:c r="E14" s="7" t="n">
        <x:f>IF(ISNUMBER(C14),IF(C14=0,0,IF(ISNUMBER(D14),ROUND(C14*D14,2),"")),"")</x:f>
        <x:v>16.22</x:v>
      </x:c>
      <x:c r="F14" s="3" t="str">
        <x:v>Newhaven Display</x:v>
      </x:c>
      <x:c r="G14" s="3" t="str">
        <x:v>NHD-0216K1Z-FSW-FBW-L</x:v>
      </x:c>
      <x:c r="H14" s="3" t="str">
        <x:v>Digi-Key</x:v>
      </x:c>
      <x:c r="I14" s="3" t="str">
        <x:v>https://www.digikey.com/en/products/detail/newhaven-display-intl/NHD-0216K1Z-FSW-FBW-L/1701185</x:v>
      </x:c>
      <x:c r="J14" s="3" t="str">
        <x:v>https://newhavendisplay.com/content/specs/NHD-0216K1Z-FSW-FBW-L.pdf</x:v>
      </x:c>
      <x:c r="K14" s="3" t="str">
        <x:v>J4</x:v>
      </x:c>
      <x:c r="L14" s="3" t="str">
        <x:v>NHD-0216K1Z-FLYBW (prior selection candidate; verify voltage/pinout/approval)</x:v>
      </x:c>
      <x:c r="M14" s="3" t="str">
        <x:v>16 x 2 LCD, 5 V parallel, 1 x 16 interface</x:v>
      </x:c>
      <x:c r="N14" s="3" t="str">
        <x:v>Two LCDs: one working display can move from breadboard to socketed PCB; the second is a spare. The optional third is omitted to control cost. Course module approval still requires confirmation.</x:v>
      </x:c>
      <x:c r="O14" s="8" t="n">
        <x:v>2</x:v>
      </x:c>
      <x:c r="P14" s="8" t="n">
        <x:v>0</x:v>
      </x:c>
      <x:c r="Q14" s="3" t="str">
        <x:v>Buy</x:v>
      </x:c>
    </x:row>
    <x:row r="15" ht="96" customHeight="1">
      <x:c r="A15" s="3" t="str">
        <x:v>Speaker screw terminal, 2 positions</x:v>
      </x:c>
      <x:c r="B15" s="3" t="n">
        <x:v>1</x:v>
      </x:c>
      <x:c r="C15" s="3" t="n">
        <x:f>IF(OR(Q15="Available; check spare quantity",Q15="Covered by shared strips",Q15="Class-issued; verify receipt",Q15="Team decision"),0,IF(AND(ISNUMBER(O15),ISNUMBER(P15)),MAX(O15-P15,0),""))</x:f>
        <x:v>3</x:v>
      </x:c>
      <x:c r="D15" s="7" t="n">
        <x:v>0.67</x:v>
      </x:c>
      <x:c r="E15" s="7" t="n">
        <x:f>IF(ISNUMBER(C15),IF(C15=0,0,IF(ISNUMBER(D15),ROUND(C15*D15,2),"")),"")</x:f>
        <x:v>2.01</x:v>
      </x:c>
      <x:c r="F15" s="3" t="str">
        <x:v>On Shore Technology</x:v>
      </x:c>
      <x:c r="G15" s="3" t="str">
        <x:v>OSTTE020161</x:v>
      </x:c>
      <x:c r="H15" s="3" t="str">
        <x:v>Digi-Key</x:v>
      </x:c>
      <x:c r="I15" s="3" t="str">
        <x:v>https://www.digikey.com/en/products/detail/on-shore-technology-inc/OSTTE020161/614584</x:v>
      </x:c>
      <x:c r="J15" s="3" t="str">
        <x:v>https://www.on-shore.com/wp-content/uploads/OSTTEXX0161.pdf?download=1</x:v>
      </x:c>
      <x:c r="K15" s="3" t="str">
        <x:v>J5</x:v>
      </x:c>
      <x:c r="L15" s="3"/>
      <x:c r="M15" s="3" t="str">
        <x:v>2-position screw terminal, 3.50 mm pitch</x:v>
      </x:c>
      <x:c r="N15" s="3" t="str">
        <x:v>Speaker connects by wires. Verify pad pitch and terminal pin mapping.</x:v>
      </x:c>
      <x:c r="O15" s="8" t="n">
        <x:v>3</x:v>
      </x:c>
      <x:c r="P15" s="8" t="n">
        <x:v>0</x:v>
      </x:c>
      <x:c r="Q15" s="3" t="str">
        <x:v>Buy</x:v>
      </x:c>
    </x:row>
    <x:row r="16" ht="96" customHeight="1">
      <x:c r="A16" s="3" t="str">
        <x:v>Spare GPIO header1x10, 2.54 mm</x:v>
      </x:c>
      <x:c r="B16" s="3" t="n">
        <x:v>1</x:v>
      </x:c>
      <x:c r="C16" s="3" t="n">
        <x:f>IF(OR(Q16="Available; check spare quantity",Q16="Covered by shared strips",Q16="Class-issued; verify receipt",Q16="Team decision"),0,IF(AND(ISNUMBER(O16),ISNUMBER(P16)),MAX(O16-P16,0),""))</x:f>
        <x:v>0</x:v>
      </x:c>
      <x:c r="D16" s="7"/>
      <x:c r="E16" s="7" t="n">
        <x:f>IF(ISNUMBER(C16),IF(C16=0,0,IF(ISNUMBER(D16),ROUND(C16*D16,2),"")),"")</x:f>
        <x:v>0</x:v>
      </x:c>
      <x:c r="F16" s="3" t="str">
        <x:v>Sullins</x:v>
      </x:c>
      <x:c r="G16" s="3" t="str">
        <x:v>Cut from Peralta 2.54 mm male strips</x:v>
      </x:c>
      <x:c r="H16" s="3" t="str">
        <x:v>Included in Peralta male header stock</x:v>
      </x:c>
      <x:c r="I16" s="3" t="str">
        <x:v>https://www.digikey.com/en/products/detail/sullins-connector-solutions/PRPC040SAAN-RC/2775214</x:v>
      </x:c>
      <x:c r="J16" s="3" t="str">
        <x:v>https://media.digikey.com/PDF/Data%20Sheets/Sullins%20PDFs/xRxCzzzSxxN-RC_ST_11635-B.pdf</x:v>
      </x:c>
      <x:c r="K16" s="3" t="str">
        <x:v>J6</x:v>
      </x:c>
      <x:c r="L16" s="3"/>
      <x:c r="M16" s="3"/>
      <x:c r="N16" s="3" t="str">
        <x:v>Allocated from three Peralta 40-pin strips; no separate Digi-Key purchase or duplicated cost.</x:v>
      </x:c>
      <x:c r="O16" s="8" t="n">
        <x:v>3</x:v>
      </x:c>
      <x:c r="P16" s="8"/>
      <x:c r="Q16" s="3" t="str">
        <x:v>Covered by shared strips</x:v>
      </x:c>
    </x:row>
    <x:row r="17" ht="96" customHeight="1">
      <x:c r="A17" s="3" t="str">
        <x:v>Two-pin jumper header, +5V-VTG</x:v>
      </x:c>
      <x:c r="B17" s="3" t="n">
        <x:v>1</x:v>
      </x:c>
      <x:c r="C17" s="3" t="n">
        <x:f>IF(OR(Q17="Available; check spare quantity",Q17="Covered by shared strips",Q17="Class-issued; verify receipt",Q17="Team decision"),0,IF(AND(ISNUMBER(O17),ISNUMBER(P17)),MAX(O17-P17,0),""))</x:f>
        <x:v>0</x:v>
      </x:c>
      <x:c r="D17" s="7"/>
      <x:c r="E17" s="7" t="n">
        <x:f>IF(ISNUMBER(C17),IF(C17=0,0,IF(ISNUMBER(D17),ROUND(C17*D17,2),"")),"")</x:f>
        <x:v>0</x:v>
      </x:c>
      <x:c r="F17" s="3" t="str">
        <x:v>Sullins</x:v>
      </x:c>
      <x:c r="G17" s="3" t="str">
        <x:v>Cut from Peralta 2.54 mm male strips</x:v>
      </x:c>
      <x:c r="H17" s="3" t="str">
        <x:v>Included in Peralta male header stock</x:v>
      </x:c>
      <x:c r="I17" s="3" t="str">
        <x:v>https://www.digikey.com/en/products/detail/sullins-connector-solutions/PRPC040SAAN-RC/2775214</x:v>
      </x:c>
      <x:c r="J17" s="3" t="str">
        <x:v>https://media.digikey.com/PDF/Data%20Sheets/Sullins%20PDFs/xRxCzzzSxxN-RC_ST_11635-B.pdf</x:v>
      </x:c>
      <x:c r="K17" s="3" t="str">
        <x:v>JP1</x:v>
      </x:c>
      <x:c r="L17" s="3"/>
      <x:c r="M17" s="3"/>
      <x:c r="N17" s="3" t="str">
        <x:v>Allocated from three Peralta 40-pin strips; no separate Digi-Key purchase or duplicated cost.</x:v>
      </x:c>
      <x:c r="O17" s="8" t="n">
        <x:v>3</x:v>
      </x:c>
      <x:c r="P17" s="8"/>
      <x:c r="Q17" s="3" t="str">
        <x:v>Covered by shared strips</x:v>
      </x:c>
    </x:row>
    <x:row r="18" ht="96" customHeight="1">
      <x:c r="A18" s="3" t="str">
        <x:v>Two-pin jumper header, VOFF-GND</x:v>
      </x:c>
      <x:c r="B18" s="3" t="n">
        <x:v>1</x:v>
      </x:c>
      <x:c r="C18" s="3" t="n">
        <x:f>IF(OR(Q18="Available; check spare quantity",Q18="Covered by shared strips",Q18="Class-issued; verify receipt",Q18="Team decision"),0,IF(AND(ISNUMBER(O18),ISNUMBER(P18)),MAX(O18-P18,0),""))</x:f>
        <x:v>0</x:v>
      </x:c>
      <x:c r="D18" s="7"/>
      <x:c r="E18" s="7" t="n">
        <x:f>IF(ISNUMBER(C18),IF(C18=0,0,IF(ISNUMBER(D18),ROUND(C18*D18,2),"")),"")</x:f>
        <x:v>0</x:v>
      </x:c>
      <x:c r="F18" s="3" t="str">
        <x:v>Sullins</x:v>
      </x:c>
      <x:c r="G18" s="3" t="str">
        <x:v>Cut from Peralta 2.54 mm male strips</x:v>
      </x:c>
      <x:c r="H18" s="3" t="str">
        <x:v>Included in Peralta male header stock</x:v>
      </x:c>
      <x:c r="I18" s="3" t="str">
        <x:v>https://www.digikey.com/en/products/detail/sullins-connector-solutions/PRPC040SAAN-RC/2775214</x:v>
      </x:c>
      <x:c r="J18" s="3" t="str">
        <x:v>https://media.digikey.com/PDF/Data%20Sheets/Sullins%20PDFs/xRxCzzzSxxN-RC_ST_11635-B.pdf</x:v>
      </x:c>
      <x:c r="K18" s="3" t="str">
        <x:v>JP2</x:v>
      </x:c>
      <x:c r="L18" s="3"/>
      <x:c r="M18" s="3"/>
      <x:c r="N18" s="3" t="str">
        <x:v>Allocated from three Peralta 40-pin strips; no separate Digi-Key purchase or duplicated cost.</x:v>
      </x:c>
      <x:c r="O18" s="8" t="n">
        <x:v>3</x:v>
      </x:c>
      <x:c r="P18" s="8"/>
      <x:c r="Q18" s="3" t="str">
        <x:v>Covered by shared strips</x:v>
      </x:c>
    </x:row>
    <x:row r="19" ht="96" customHeight="1">
      <x:c r="A19" s="3" t="str">
        <x:v>Resistor, 1k 1/4W</x:v>
      </x:c>
      <x:c r="B19" s="3" t="n">
        <x:v>2</x:v>
      </x:c>
      <x:c r="C19" s="3" t="n">
        <x:f>IF(OR(Q19="Available; check spare quantity",Q19="Covered by shared strips",Q19="Class-issued; verify receipt",Q19="Team decision"),0,IF(AND(ISNUMBER(O19),ISNUMBER(P19)),MAX(O19-P19,0),""))</x:f>
        <x:v>0</x:v>
      </x:c>
      <x:c r="D19" s="7"/>
      <x:c r="E19" s="7" t="n">
        <x:f>IF(ISNUMBER(C19),IF(C19=0,0,IF(ISNUMBER(D19),ROUND(C19*D19,2),"")),"")</x:f>
        <x:v>0</x:v>
      </x:c>
      <x:c r="F19" s="3"/>
      <x:c r="G19" s="3"/>
      <x:c r="H19" s="3" t="str">
        <x:v>Provided kit</x:v>
      </x:c>
      <x:c r="I19" s="3"/>
      <x:c r="J19" s="3"/>
      <x:c r="K19" s="3" t="str">
        <x:v>R1, R11</x:v>
      </x:c>
      <x:c r="L19" s="3"/>
      <x:c r="M19" s="3" t="str">
        <x:v>Resistor_THT:R_Axial_DIN0207_L6.3mm_D2.5mm_P10.16mm_Horizontal</x:v>
      </x:c>
      <x:c r="N19" s="3" t="str">
        <x:v>User confirmed kit quantities are sufficient for matching parts. Exact spare count and manufacturer MPN not recorded. Do not repurchase before checking.</x:v>
      </x:c>
      <x:c r="O19" s="8" t="n">
        <x:v>6</x:v>
      </x:c>
      <x:c r="P19" s="8"/>
      <x:c r="Q19" s="3" t="str">
        <x:v>Available; check spare quantity</x:v>
      </x:c>
    </x:row>
    <x:row r="20" ht="96" customHeight="1">
      <x:c r="A20" s="3" t="str">
        <x:v>Resistor, 100k 1/4W</x:v>
      </x:c>
      <x:c r="B20" s="3" t="n">
        <x:v>1</x:v>
      </x:c>
      <x:c r="C20" s="3" t="n">
        <x:f>IF(OR(Q20="Available; check spare quantity",Q20="Covered by shared strips",Q20="Class-issued; verify receipt",Q20="Team decision"),0,IF(AND(ISNUMBER(O20),ISNUMBER(P20)),MAX(O20-P20,0),""))</x:f>
        <x:v>0</x:v>
      </x:c>
      <x:c r="D20" s="7"/>
      <x:c r="E20" s="7" t="n">
        <x:f>IF(ISNUMBER(C20),IF(C20=0,0,IF(ISNUMBER(D20),ROUND(C20*D20,2),"")),"")</x:f>
        <x:v>0</x:v>
      </x:c>
      <x:c r="F20" s="3"/>
      <x:c r="G20" s="3"/>
      <x:c r="H20" s="3" t="str">
        <x:v>Provided kit</x:v>
      </x:c>
      <x:c r="I20" s="3"/>
      <x:c r="J20" s="3"/>
      <x:c r="K20" s="3" t="str">
        <x:v>R5</x:v>
      </x:c>
      <x:c r="L20" s="3"/>
      <x:c r="M20" s="3" t="str">
        <x:v>Resistor_THT:R_Axial_DIN0207_L6.3mm_D2.5mm_P10.16mm_Horizontal</x:v>
      </x:c>
      <x:c r="N20" s="3" t="str">
        <x:v>User confirmed kit quantities are sufficient for matching parts. Exact spare count and manufacturer MPN not recorded. Do not repurchase before checking.</x:v>
      </x:c>
      <x:c r="O20" s="8" t="n">
        <x:v>4</x:v>
      </x:c>
      <x:c r="P20" s="8"/>
      <x:c r="Q20" s="3" t="str">
        <x:v>Available; check spare quantity</x:v>
      </x:c>
    </x:row>
    <x:row r="21" ht="96" customHeight="1">
      <x:c r="A21" s="3" t="str">
        <x:v>Resistor, 10k 1/4W</x:v>
      </x:c>
      <x:c r="B21" s="3" t="n">
        <x:v>4</x:v>
      </x:c>
      <x:c r="C21" s="3" t="n">
        <x:f>IF(OR(Q21="Available; check spare quantity",Q21="Covered by shared strips",Q21="Class-issued; verify receipt",Q21="Team decision"),0,IF(AND(ISNUMBER(O21),ISNUMBER(P21)),MAX(O21-P21,0),""))</x:f>
        <x:v>0</x:v>
      </x:c>
      <x:c r="D21" s="7"/>
      <x:c r="E21" s="7" t="n">
        <x:f>IF(ISNUMBER(C21),IF(C21=0,0,IF(ISNUMBER(D21),ROUND(C21*D21,2),"")),"")</x:f>
        <x:v>0</x:v>
      </x:c>
      <x:c r="F21" s="3"/>
      <x:c r="G21" s="3"/>
      <x:c r="H21" s="3" t="str">
        <x:v>Provided kit</x:v>
      </x:c>
      <x:c r="I21" s="3"/>
      <x:c r="J21" s="3"/>
      <x:c r="K21" s="3" t="str">
        <x:v>R7, R8, R9, R10</x:v>
      </x:c>
      <x:c r="L21" s="3"/>
      <x:c r="M21" s="3" t="str">
        <x:v>Resistor_THT:R_Axial_DIN0207_L6.3mm_D2.5mm_P10.16mm_Horizontal</x:v>
      </x:c>
      <x:c r="N21" s="3" t="str">
        <x:v>User confirmed kit quantities are sufficient for matching parts. Exact spare count and manufacturer MPN not recorded. Do not repurchase before checking.</x:v>
      </x:c>
      <x:c r="O21" s="8" t="n">
        <x:v>10</x:v>
      </x:c>
      <x:c r="P21" s="8"/>
      <x:c r="Q21" s="3" t="str">
        <x:v>Available; check spare quantity</x:v>
      </x:c>
    </x:row>
    <x:row r="22" ht="96" customHeight="1">
      <x:c r="A22" s="3" t="str">
        <x:v>Resistor, 330 1/4W</x:v>
      </x:c>
      <x:c r="B22" s="3" t="n">
        <x:v>1</x:v>
      </x:c>
      <x:c r="C22" s="3" t="n">
        <x:f>IF(OR(Q22="Available; check spare quantity",Q22="Covered by shared strips",Q22="Class-issued; verify receipt",Q22="Team decision"),0,IF(AND(ISNUMBER(O22),ISNUMBER(P22)),MAX(O22-P22,0),""))</x:f>
        <x:v>0</x:v>
      </x:c>
      <x:c r="D22" s="7"/>
      <x:c r="E22" s="7" t="n">
        <x:f>IF(ISNUMBER(C22),IF(C22=0,0,IF(ISNUMBER(D22),ROUND(C22*D22,2),"")),"")</x:f>
        <x:v>0</x:v>
      </x:c>
      <x:c r="F22" s="3"/>
      <x:c r="G22" s="3"/>
      <x:c r="H22" s="3" t="str">
        <x:v>Provided kit</x:v>
      </x:c>
      <x:c r="I22" s="3"/>
      <x:c r="J22" s="3"/>
      <x:c r="K22" s="3" t="str">
        <x:v>R12</x:v>
      </x:c>
      <x:c r="L22" s="3"/>
      <x:c r="M22" s="3" t="str">
        <x:v>Resistor_THT:R_Axial_DIN0207_L6.3mm_D2.5mm_P10.16mm_Horizontal</x:v>
      </x:c>
      <x:c r="N22" s="3" t="str">
        <x:v>User confirmed kit quantities are sufficient for matching parts. Exact spare count and manufacturer MPN not recorded. Do not repurchase before checking.</x:v>
      </x:c>
      <x:c r="O22" s="8" t="n">
        <x:v>3</x:v>
      </x:c>
      <x:c r="P22" s="8"/>
      <x:c r="Q22" s="3" t="str">
        <x:v>Available; check spare quantity</x:v>
      </x:c>
    </x:row>
    <x:row r="23" ht="96" customHeight="1">
      <x:c r="A23" s="3" t="str">
        <x:v>Resistor, 200k</x:v>
      </x:c>
      <x:c r="B23" s="3" t="n">
        <x:v>1</x:v>
      </x:c>
      <x:c r="C23" s="3" t="n">
        <x:f>IF(OR(Q23="Available; check spare quantity",Q23="Covered by shared strips",Q23="Class-issued; verify receipt",Q23="Team decision"),0,IF(AND(ISNUMBER(O23),ISNUMBER(P23)),MAX(O23-P23,0),""))</x:f>
        <x:v>4</x:v>
      </x:c>
      <x:c r="D23" s="7" t="n">
        <x:v>0.11</x:v>
      </x:c>
      <x:c r="E23" s="7" t="n">
        <x:f>IF(ISNUMBER(C23),IF(C23=0,0,IF(ISNUMBER(D23),ROUND(C23*D23,2),"")),"")</x:f>
        <x:v>0.44</x:v>
      </x:c>
      <x:c r="F23" s="3" t="str">
        <x:v>YAGEO</x:v>
      </x:c>
      <x:c r="G23" s="3" t="str">
        <x:v>MFR-25FBF52-200K</x:v>
      </x:c>
      <x:c r="H23" s="3" t="str">
        <x:v>Digi-Key</x:v>
      </x:c>
      <x:c r="I23" s="3" t="str">
        <x:v>https://www.digikey.com/en/products/detail/yageo/MFR-25FBF52-200K/13547</x:v>
      </x:c>
      <x:c r="J23" s="3" t="str">
        <x:v>https://www1.futureelectronics.com/doc/YAGEO%20AMERICA%20CORPORATION/MFR-25FRF52-475R.pdf</x:v>
      </x:c>
      <x:c r="K23" s="3" t="str">
        <x:v>R13</x:v>
      </x:c>
      <x:c r="L23" s="3"/>
      <x:c r="M23" s="3" t="str">
        <x:v>Axial, 200 kohm, 1%, 0.25 W; body 6.3 x 2.4 mm</x:v>
      </x:c>
      <x:c r="N23" s="3" t="str">
        <x:v>Four per supplied reference. Existing resistor footprint nominal 6.3 mm body and 10.16 mm lead spacing; check hole diameter.</x:v>
      </x:c>
      <x:c r="O23" s="8" t="n">
        <x:v>4</x:v>
      </x:c>
      <x:c r="P23" s="8" t="n">
        <x:v>0</x:v>
      </x:c>
      <x:c r="Q23" s="3" t="str">
        <x:v>Buy</x:v>
      </x:c>
    </x:row>
    <x:row r="24" ht="96" customHeight="1">
      <x:c r="A24" s="3" t="str">
        <x:v>Resistor, 10k</x:v>
      </x:c>
      <x:c r="B24" s="3" t="n">
        <x:v>2</x:v>
      </x:c>
      <x:c r="C24" s="3" t="n">
        <x:f>IF(OR(Q24="Available; check spare quantity",Q24="Covered by shared strips",Q24="Class-issued; verify receipt",Q24="Team decision"),0,IF(AND(ISNUMBER(O24),ISNUMBER(P24)),MAX(O24-P24,0),""))</x:f>
        <x:v>0</x:v>
      </x:c>
      <x:c r="D24" s="7"/>
      <x:c r="E24" s="7" t="n">
        <x:f>IF(ISNUMBER(C24),IF(C24=0,0,IF(ISNUMBER(D24),ROUND(C24*D24,2),"")),"")</x:f>
        <x:v>0</x:v>
      </x:c>
      <x:c r="F24" s="3"/>
      <x:c r="G24" s="3"/>
      <x:c r="H24" s="3" t="str">
        <x:v>Provided kit</x:v>
      </x:c>
      <x:c r="I24" s="3"/>
      <x:c r="J24" s="3"/>
      <x:c r="K24" s="3" t="str">
        <x:v>R14, R15</x:v>
      </x:c>
      <x:c r="L24" s="3"/>
      <x:c r="M24" s="3" t="str">
        <x:v>Resistor_THT:R_Axial_DIN0207_L6.3mm_D2.5mm_P10.16mm_Horizontal</x:v>
      </x:c>
      <x:c r="N24" s="3" t="str">
        <x:v>User confirmed kit quantities are sufficient for matching parts. Exact spare count and manufacturer MPN not recorded. Do not repurchase before checking.</x:v>
      </x:c>
      <x:c r="O24" s="8" t="n">
        <x:v>4</x:v>
      </x:c>
      <x:c r="P24" s="8"/>
      <x:c r="Q24" s="3" t="str">
        <x:v>Available; check spare quantity</x:v>
      </x:c>
    </x:row>
    <x:row r="25" ht="96" customHeight="1">
      <x:c r="A25" s="3" t="str">
        <x:v>Resistor, 330R / 0.25w</x:v>
      </x:c>
      <x:c r="B25" s="3" t="n">
        <x:v>1</x:v>
      </x:c>
      <x:c r="C25" s="3" t="n">
        <x:f>IF(OR(Q25="Available; check spare quantity",Q25="Covered by shared strips",Q25="Class-issued; verify receipt",Q25="Team decision"),0,IF(AND(ISNUMBER(O25),ISNUMBER(P25)),MAX(O25-P25,0),""))</x:f>
        <x:v>0</x:v>
      </x:c>
      <x:c r="D25" s="7"/>
      <x:c r="E25" s="7" t="n">
        <x:f>IF(ISNUMBER(C25),IF(C25=0,0,IF(ISNUMBER(D25),ROUND(C25*D25,2),"")),"")</x:f>
        <x:v>0</x:v>
      </x:c>
      <x:c r="F25" s="3"/>
      <x:c r="G25" s="3"/>
      <x:c r="H25" s="3" t="str">
        <x:v>Provided kit</x:v>
      </x:c>
      <x:c r="I25" s="3"/>
      <x:c r="J25" s="3"/>
      <x:c r="K25" s="3" t="str">
        <x:v>R16</x:v>
      </x:c>
      <x:c r="L25" s="3"/>
      <x:c r="M25" s="3" t="str">
        <x:v>Resistor_THT:R_Axial_DIN0207_L6.3mm_D2.5mm_P10.16mm_Horizontal</x:v>
      </x:c>
      <x:c r="N25" s="3" t="str">
        <x:v>User confirmed kit quantities are sufficient for matching parts. Exact spare count and manufacturer MPN not recorded. Do not repurchase before checking.</x:v>
      </x:c>
      <x:c r="O25" s="8" t="n">
        <x:v>3</x:v>
      </x:c>
      <x:c r="P25" s="8"/>
      <x:c r="Q25" s="3" t="str">
        <x:v>Available; check spare quantity</x:v>
      </x:c>
    </x:row>
    <x:row r="26" ht="96" customHeight="1">
      <x:c r="A26" s="3" t="str">
        <x:v>10 kohm potentiometer, top-up after two owned units</x:v>
      </x:c>
      <x:c r="B26" s="3" t="n">
        <x:v>2</x:v>
      </x:c>
      <x:c r="C26" s="3" t="n">
        <x:v>4</x:v>
      </x:c>
      <x:c r="D26" s="7"/>
      <x:c r="E26" s="7" t="str">
        <x:v>Excluded (PRLTA)</x:v>
      </x:c>
      <x:c r="F26" s="3" t="str">
        <x:v>HiLetgo</x:v>
      </x:c>
      <x:c r="G26" s="3" t="str">
        <x:v>WH148, 10 kohm (verify marking)</x:v>
      </x:c>
      <x:c r="H26" s="3" t="str">
        <x:v>Peralta / PRLTA</x:v>
      </x:c>
      <x:c r="I26" s="3" t="str">
        <x:v>https://www.dropbox.com/scl/fi/2vn7lf6sw42n8gvxrnfy8/Spring-2023-Order-Planning.xlsx?rlkey=sb7mjh9vm48ac2a8zcb9fryed&amp;dl=0</x:v>
      </x:c>
      <x:c r="J26" s="3" t="str">
        <x:v>https://www.dropbox.com/scl/fi/2vn7lf6sw42n8gvxrnfy8/Spring-2023-Order-Planning.xlsx?rlkey=sb7mjh9vm48ac2a8zcb9fryed&amp;dl=0</x:v>
      </x:c>
      <x:c r="K26" s="3" t="str">
        <x:v>RV1, RV2</x:v>
      </x:c>
      <x:c r="L26" s="3"/>
      <x:c r="M26" s="3" t="str">
        <x:v>Use actual issued-part package</x:v>
      </x:c>
      <x:c r="N26" s="3" t="str">
        <x:v>Course list row 54; not a shelf/bin number. WH148-style stock; verify 10 kohm marking and actual footprint; not the prior Piher trimmer footprint. Required quantity is a request, not a claim of receipt. Former Digi-Key MPN PT10LV10-103A2020-S is a backup reference only.</x:v>
      </x:c>
      <x:c r="O26" s="8" t="n">
        <x:v>6</x:v>
      </x:c>
      <x:c r="P26" s="8" t="n">
        <x:v>2</x:v>
      </x:c>
      <x:c r="Q26" s="3" t="str">
        <x:v>Peralta request</x:v>
      </x:c>
    </x:row>
    <x:row r="27" ht="96" customHeight="1">
      <x:c r="A27" s="3" t="str">
        <x:v>Momentary pushbutton, START/STOP</x:v>
      </x:c>
      <x:c r="B27" s="3" t="n">
        <x:v>1</x:v>
      </x:c>
      <x:c r="C27" s="3" t="n">
        <x:f>IF(OR(Q27="Available; check spare quantity",Q27="Covered by shared strips",Q27="Class-issued; verify receipt",Q27="Team decision"),0,IF(AND(ISNUMBER(O27),ISNUMBER(P27)),MAX(O27-P27,0),""))</x:f>
        <x:v>0</x:v>
      </x:c>
      <x:c r="D27" s="7"/>
      <x:c r="E27" s="7" t="n">
        <x:f>IF(ISNUMBER(C27),IF(C27=0,0,IF(ISNUMBER(D27),ROUND(C27*D27,2),"")),"")</x:f>
        <x:v>0</x:v>
      </x:c>
      <x:c r="F27" s="3"/>
      <x:c r="G27" s="3"/>
      <x:c r="H27" s="3" t="str">
        <x:v>Provided kit</x:v>
      </x:c>
      <x:c r="I27" s="3"/>
      <x:c r="J27" s="3"/>
      <x:c r="K27" s="3" t="str">
        <x:v>SW1</x:v>
      </x:c>
      <x:c r="L27" s="3"/>
      <x:c r="M27" s="3"/>
      <x:c r="N27" s="3" t="str">
        <x:v>User confirmed kit quantities are sufficient for matching parts. Exact spare count and manufacturer MPN not recorded. Do not repurchase before checking.</x:v>
      </x:c>
      <x:c r="O27" s="8" t="n">
        <x:v>3</x:v>
      </x:c>
      <x:c r="P27" s="8"/>
      <x:c r="Q27" s="3" t="str">
        <x:v>Available; check spare quantity</x:v>
      </x:c>
    </x:row>
    <x:row r="28" ht="96" customHeight="1">
      <x:c r="A28" s="3" t="str">
        <x:v>Momentary pushbutton, UP</x:v>
      </x:c>
      <x:c r="B28" s="3" t="n">
        <x:v>1</x:v>
      </x:c>
      <x:c r="C28" s="3" t="n">
        <x:f>IF(OR(Q28="Available; check spare quantity",Q28="Covered by shared strips",Q28="Class-issued; verify receipt",Q28="Team decision"),0,IF(AND(ISNUMBER(O28),ISNUMBER(P28)),MAX(O28-P28,0),""))</x:f>
        <x:v>0</x:v>
      </x:c>
      <x:c r="D28" s="7"/>
      <x:c r="E28" s="7" t="n">
        <x:f>IF(ISNUMBER(C28),IF(C28=0,0,IF(ISNUMBER(D28),ROUND(C28*D28,2),"")),"")</x:f>
        <x:v>0</x:v>
      </x:c>
      <x:c r="F28" s="3"/>
      <x:c r="G28" s="3"/>
      <x:c r="H28" s="3" t="str">
        <x:v>Provided kit</x:v>
      </x:c>
      <x:c r="I28" s="3"/>
      <x:c r="J28" s="3"/>
      <x:c r="K28" s="3" t="str">
        <x:v>SW2</x:v>
      </x:c>
      <x:c r="L28" s="3"/>
      <x:c r="M28" s="3"/>
      <x:c r="N28" s="3" t="str">
        <x:v>User confirmed kit quantities are sufficient for matching parts. Exact spare count and manufacturer MPN not recorded. Do not repurchase before checking.</x:v>
      </x:c>
      <x:c r="O28" s="8" t="n">
        <x:v>3</x:v>
      </x:c>
      <x:c r="P28" s="8"/>
      <x:c r="Q28" s="3" t="str">
        <x:v>Available; check spare quantity</x:v>
      </x:c>
    </x:row>
    <x:row r="29" ht="96" customHeight="1">
      <x:c r="A29" s="3" t="str">
        <x:v>Momentary pushbutton, DOWN</x:v>
      </x:c>
      <x:c r="B29" s="3" t="n">
        <x:v>1</x:v>
      </x:c>
      <x:c r="C29" s="3" t="n">
        <x:f>IF(OR(Q29="Available; check spare quantity",Q29="Covered by shared strips",Q29="Class-issued; verify receipt",Q29="Team decision"),0,IF(AND(ISNUMBER(O29),ISNUMBER(P29)),MAX(O29-P29,0),""))</x:f>
        <x:v>0</x:v>
      </x:c>
      <x:c r="D29" s="7"/>
      <x:c r="E29" s="7" t="n">
        <x:f>IF(ISNUMBER(C29),IF(C29=0,0,IF(ISNUMBER(D29),ROUND(C29*D29,2),"")),"")</x:f>
        <x:v>0</x:v>
      </x:c>
      <x:c r="F29" s="3"/>
      <x:c r="G29" s="3"/>
      <x:c r="H29" s="3" t="str">
        <x:v>Provided kit</x:v>
      </x:c>
      <x:c r="I29" s="3"/>
      <x:c r="J29" s="3"/>
      <x:c r="K29" s="3" t="str">
        <x:v>SW3</x:v>
      </x:c>
      <x:c r="L29" s="3"/>
      <x:c r="M29" s="3"/>
      <x:c r="N29" s="3" t="str">
        <x:v>User confirmed kit quantities are sufficient for matching parts. Exact spare count and manufacturer MPN not recorded. Do not repurchase before checking.</x:v>
      </x:c>
      <x:c r="O29" s="8" t="n">
        <x:v>2</x:v>
      </x:c>
      <x:c r="P29" s="8"/>
      <x:c r="Q29" s="3" t="str">
        <x:v>Available; check spare quantity</x:v>
      </x:c>
    </x:row>
    <x:row r="30" ht="96" customHeight="1">
      <x:c r="A30" s="3" t="str">
        <x:v>Momentary pushbutton, DEBUG</x:v>
      </x:c>
      <x:c r="B30" s="3" t="n">
        <x:v>1</x:v>
      </x:c>
      <x:c r="C30" s="3" t="n">
        <x:f>IF(OR(Q30="Available; check spare quantity",Q30="Covered by shared strips",Q30="Class-issued; verify receipt",Q30="Team decision"),0,IF(AND(ISNUMBER(O30),ISNUMBER(P30)),MAX(O30-P30,0),""))</x:f>
        <x:v>0</x:v>
      </x:c>
      <x:c r="D30" s="7"/>
      <x:c r="E30" s="7" t="n">
        <x:f>IF(ISNUMBER(C30),IF(C30=0,0,IF(ISNUMBER(D30),ROUND(C30*D30,2),"")),"")</x:f>
        <x:v>0</x:v>
      </x:c>
      <x:c r="F30" s="3"/>
      <x:c r="G30" s="3"/>
      <x:c r="H30" s="3" t="str">
        <x:v>Provided kit</x:v>
      </x:c>
      <x:c r="I30" s="3"/>
      <x:c r="J30" s="3"/>
      <x:c r="K30" s="3" t="str">
        <x:v>SW4</x:v>
      </x:c>
      <x:c r="L30" s="3"/>
      <x:c r="M30" s="3"/>
      <x:c r="N30" s="3" t="str">
        <x:v>User confirmed kit quantities are sufficient for matching parts. Exact spare count and manufacturer MPN not recorded. Do not repurchase before checking.</x:v>
      </x:c>
      <x:c r="O30" s="8" t="n">
        <x:v>2</x:v>
      </x:c>
      <x:c r="P30" s="8"/>
      <x:c r="Q30" s="3" t="str">
        <x:v>Available; check spare quantity</x:v>
      </x:c>
    </x:row>
    <x:row r="31" ht="96" customHeight="1">
      <x:c r="A31" s="3" t="str">
        <x:v>Test point</x:v>
      </x:c>
      <x:c r="B31" s="3" t="n">
        <x:v>1</x:v>
      </x:c>
      <x:c r="C31" s="3" t="n">
        <x:f>IF(OR(Q31="Available; check spare quantity",Q31="Covered by shared strips",Q31="Class-issued; verify receipt",Q31="Team decision"),0,IF(AND(ISNUMBER(O31),ISNUMBER(P31)),MAX(O31-P31,0),""))</x:f>
        <x:v>0</x:v>
      </x:c>
      <x:c r="D31" s="7"/>
      <x:c r="E31" s="7" t="n">
        <x:f>IF(ISNUMBER(C31),IF(C31=0,0,IF(ISNUMBER(D31),ROUND(C31*D31,2),"")),"")</x:f>
        <x:v>0</x:v>
      </x:c>
      <x:c r="F31" s="3" t="str">
        <x:v>Sullins</x:v>
      </x:c>
      <x:c r="G31" s="3" t="str">
        <x:v>Cut from Peralta 2.54 mm male strips</x:v>
      </x:c>
      <x:c r="H31" s="3" t="str">
        <x:v>Included in Peralta male header stock</x:v>
      </x:c>
      <x:c r="I31" s="3" t="str">
        <x:v>https://www.digikey.com/en/products/detail/sullins-connector-solutions/PRPC040SAAN-RC/2775214</x:v>
      </x:c>
      <x:c r="J31" s="3" t="str">
        <x:v>https://media.digikey.com/PDF/Data%20Sheets/Sullins%20PDFs/xRxCzzzSxxN-RC_ST_11635-B.pdf</x:v>
      </x:c>
      <x:c r="K31" s="3" t="str">
        <x:v>TP1</x:v>
      </x:c>
      <x:c r="L31" s="3"/>
      <x:c r="M31" s="3"/>
      <x:c r="N31" s="3" t="str">
        <x:v>Allocated from three Peralta 40-pin strips; no separate Digi-Key purchase or duplicated cost.</x:v>
      </x:c>
      <x:c r="O31" s="8" t="n">
        <x:v>3</x:v>
      </x:c>
      <x:c r="P31" s="8"/>
      <x:c r="Q31" s="3" t="str">
        <x:v>Covered by shared strips</x:v>
      </x:c>
    </x:row>
    <x:row r="32" ht="96" customHeight="1">
      <x:c r="A32" s="3" t="str">
        <x:v>Test point</x:v>
      </x:c>
      <x:c r="B32" s="3" t="n">
        <x:v>5</x:v>
      </x:c>
      <x:c r="C32" s="3" t="n">
        <x:f>IF(OR(Q32="Available; check spare quantity",Q32="Covered by shared strips",Q32="Class-issued; verify receipt",Q32="Team decision"),0,IF(AND(ISNUMBER(O32),ISNUMBER(P32)),MAX(O32-P32,0),""))</x:f>
        <x:v>0</x:v>
      </x:c>
      <x:c r="D32" s="7"/>
      <x:c r="E32" s="7" t="n">
        <x:f>IF(ISNUMBER(C32),IF(C32=0,0,IF(ISNUMBER(D32),ROUND(C32*D32,2),"")),"")</x:f>
        <x:v>0</x:v>
      </x:c>
      <x:c r="F32" s="3" t="str">
        <x:v>Sullins</x:v>
      </x:c>
      <x:c r="G32" s="3" t="str">
        <x:v>Cut from Peralta 2.54 mm male strips</x:v>
      </x:c>
      <x:c r="H32" s="3" t="str">
        <x:v>Included in Peralta male header stock</x:v>
      </x:c>
      <x:c r="I32" s="3" t="str">
        <x:v>https://www.digikey.com/en/products/detail/sullins-connector-solutions/PRPC040SAAN-RC/2775214</x:v>
      </x:c>
      <x:c r="J32" s="3" t="str">
        <x:v>https://media.digikey.com/PDF/Data%20Sheets/Sullins%20PDFs/xRxCzzzSxxN-RC_ST_11635-B.pdf</x:v>
      </x:c>
      <x:c r="K32" s="3" t="str">
        <x:v>TP2, TP3, TP4, TP5, TP6</x:v>
      </x:c>
      <x:c r="L32" s="3"/>
      <x:c r="M32" s="3"/>
      <x:c r="N32" s="3" t="str">
        <x:v>Allocated from three Peralta 40-pin strips; no separate Digi-Key purchase or duplicated cost.</x:v>
      </x:c>
      <x:c r="O32" s="8" t="n">
        <x:v>11</x:v>
      </x:c>
      <x:c r="P32" s="8"/>
      <x:c r="Q32" s="3" t="str">
        <x:v>Covered by shared strips</x:v>
      </x:c>
    </x:row>
    <x:row r="33" ht="96" customHeight="1">
      <x:c r="A33" s="3" t="str">
        <x:v>5 V linear voltage regulator</x:v>
      </x:c>
      <x:c r="B33" s="3" t="n">
        <x:v>1</x:v>
      </x:c>
      <x:c r="C33" s="3" t="n">
        <x:f>IF(OR(Q33="Available; check spare quantity",Q33="Covered by shared strips",Q33="Class-issued; verify receipt",Q33="Team decision"),0,IF(AND(ISNUMBER(O33),ISNUMBER(P33)),MAX(O33-P33,0),""))</x:f>
        <x:v>0</x:v>
      </x:c>
      <x:c r="D33" s="7" t="n">
        <x:v>1.53</x:v>
      </x:c>
      <x:c r="E33" s="7" t="n">
        <x:f>IF(ISNUMBER(C33),IF(C33=0,0,IF(ISNUMBER(D33),ROUND(C33*D33,2),"")),"")</x:f>
        <x:v>0</x:v>
      </x:c>
      <x:c r="F33" s="3" t="str">
        <x:v>STMicroelectronics</x:v>
      </x:c>
      <x:c r="G33" s="3" t="str">
        <x:v>L7805ABV-DG</x:v>
      </x:c>
      <x:c r="H33" s="3" t="str">
        <x:v>Already available</x:v>
      </x:c>
      <x:c r="I33" s="3" t="str">
        <x:v>https://www.digikey.com/en/products/detail/stmicroelectronics/L7805ABV-DG/497-15681-5-ND/3945936</x:v>
      </x:c>
      <x:c r="J33" s="3" t="str">
        <x:v>https://www.st.com/resource/en/datasheet/l78.pdf</x:v>
      </x:c>
      <x:c r="K33" s="3" t="str">
        <x:v>U1</x:v>
      </x:c>
      <x:c r="L33" s="3" t="str">
        <x:v>LM2940CT-5.0 (candidate only; capacitor and stability requirements differ)</x:v>
      </x:c>
      <x:c r="M33" s="3"/>
      <x:c r="N33" s="3" t="str">
        <x:v>User confirmed available; purchase quantity zero. Exact spare count is not recorded. Retail reference price does not represent additional spending.</x:v>
      </x:c>
      <x:c r="O33" s="8" t="n">
        <x:v>3</x:v>
      </x:c>
      <x:c r="P33" s="8"/>
      <x:c r="Q33" s="3" t="str">
        <x:v>Available; check spare quantity</x:v>
      </x:c>
    </x:row>
    <x:row r="34" ht="96" customHeight="1">
      <x:c r="A34" s="3" t="str">
        <x:v>PIC18F57Q43 Curiosity Nano board</x:v>
      </x:c>
      <x:c r="B34" s="3" t="n">
        <x:v>1</x:v>
      </x:c>
      <x:c r="C34" s="3" t="n">
        <x:f>IF(OR(Q34="Available; check spare quantity",Q34="Covered by shared strips",Q34="Class-issued; verify receipt",Q34="Team decision"),0,IF(AND(ISNUMBER(O34),ISNUMBER(P34)),MAX(O34-P34,0),""))</x:f>
        <x:v>0</x:v>
      </x:c>
      <x:c r="D34" s="7" t="n">
        <x:v>10.61</x:v>
      </x:c>
      <x:c r="E34" s="7" t="n">
        <x:f>IF(ISNUMBER(C34),IF(C34=0,0,IF(ISNUMBER(D34),ROUND(C34*D34,2),"")),"")</x:f>
        <x:v>0</x:v>
      </x:c>
      <x:c r="F34" s="3" t="str">
        <x:v>Microchip Technology</x:v>
      </x:c>
      <x:c r="G34" s="3" t="str">
        <x:v>DM164150</x:v>
      </x:c>
      <x:c r="H34" s="3" t="str">
        <x:v>Confirm class-issued stock</x:v>
      </x:c>
      <x:c r="I34" s="3" t="str">
        <x:v>https://www.digikey.com/en/products/detail/microchip-technology/DM164150/11586705</x:v>
      </x:c>
      <x:c r="J34" s="3" t="str">
        <x:v>https://ww1.microchip.com/downloads/aemDocuments/documents/MCU08/ProductDocuments/UserGuides/PIC18F57Q43-Curiosity-Nano-HW-UserGuide-DS40002186B.pdf</x:v>
      </x:c>
      <x:c r="K34" s="3" t="str">
        <x:v>U2</x:v>
      </x:c>
      <x:c r="L34" s="3"/>
      <x:c r="M34" s="3"/>
      <x:c r="N34" s="3" t="str">
        <x:v>Listed as class-issued in supplied reference. Not ordered in this plan; confirm received and functional. Replacement price is not part of current purchase total.</x:v>
      </x:c>
      <x:c r="O34" s="8" t="n">
        <x:v>1</x:v>
      </x:c>
      <x:c r="P34" s="8"/>
      <x:c r="Q34" s="3" t="str">
        <x:v>Class-issued; verify receipt</x:v>
      </x:c>
    </x:row>
    <x:row r="35" ht="96" customHeight="1">
      <x:c r="A35" s="3" t="str">
        <x:v>Quad operational amplifier, PDIP-14</x:v>
      </x:c>
      <x:c r="B35" s="3" t="n">
        <x:v>1</x:v>
      </x:c>
      <x:c r="C35" s="3" t="n">
        <x:f>IF(OR(Q35="Available; check spare quantity",Q35="Covered by shared strips",Q35="Class-issued; verify receipt",Q35="Team decision"),0,IF(AND(ISNUMBER(O35),ISNUMBER(P35)),MAX(O35-P35,0),""))</x:f>
        <x:v>0</x:v>
      </x:c>
      <x:c r="D35" s="7" t="n">
        <x:v>0.6</x:v>
      </x:c>
      <x:c r="E35" s="7" t="n">
        <x:f>IF(ISNUMBER(C35),IF(C35=0,0,IF(ISNUMBER(D35),ROUND(C35*D35,2),"")),"")</x:f>
        <x:v>0</x:v>
      </x:c>
      <x:c r="F35" s="3" t="str">
        <x:v>Microchip Technology</x:v>
      </x:c>
      <x:c r="G35" s="3" t="str">
        <x:v>MCP6004-I/P</x:v>
      </x:c>
      <x:c r="H35" s="3" t="str">
        <x:v>Already available</x:v>
      </x:c>
      <x:c r="I35" s="3" t="str">
        <x:v>https://www.digikey.com/en/products/detail/microchip-technology/MCP6004-I-P/523060</x:v>
      </x:c>
      <x:c r="J35" s="3" t="str">
        <x:v>https://ww1.microchip.com/downloads/en/DeviceDoc/MCP6001-1R-1U-2-4-1-MHz-Low-Power-Op-Amp-DS20001733L.pdf</x:v>
      </x:c>
      <x:c r="K35" s="3" t="str">
        <x:v>U3</x:v>
      </x:c>
      <x:c r="L35" s="3" t="str">
        <x:v>MCP6024-I/P (candidate; verify operating and output characteristics)</x:v>
      </x:c>
      <x:c r="M35" s="3" t="str">
        <x:v>Package_DIP:DIP-14_W7.62mm_Socket</x:v>
      </x:c>
      <x:c r="N35" s="3" t="str">
        <x:v>User confirmed available; purchase quantity zero. Exact spare count is not recorded. Retail reference price does not represent additional spending.</x:v>
      </x:c>
      <x:c r="O35" s="8" t="n">
        <x:v>3</x:v>
      </x:c>
      <x:c r="P35" s="8"/>
      <x:c r="Q35" s="3" t="str">
        <x:v>Available; check spare quantity</x:v>
      </x:c>
    </x:row>
    <x:row r="36" ht="96" customHeight="1">
      <x:c r="A36" s="3" t="str">
        <x:v>Speaker, 8 ohm, 2 W</x:v>
      </x:c>
      <x:c r="B36" s="3" t="n">
        <x:v>1</x:v>
      </x:c>
      <x:c r="C36" s="3" t="n">
        <x:f>IF(OR(Q36="Available; check spare quantity",Q36="Covered by shared strips",Q36="Class-issued; verify receipt",Q36="Team decision"),0,IF(AND(ISNUMBER(O36),ISNUMBER(P36)),MAX(O36-P36,0),""))</x:f>
        <x:v>3</x:v>
      </x:c>
      <x:c r="D36" s="7" t="n">
        <x:v>2.17</x:v>
      </x:c>
      <x:c r="E36" s="7" t="n">
        <x:f>IF(ISNUMBER(C36),IF(C36=0,0,IF(ISNUMBER(D36),ROUND(C36*D36,2),"")),"")</x:f>
        <x:v>6.51</x:v>
      </x:c>
      <x:c r="F36" s="3" t="str">
        <x:v>Same Sky</x:v>
      </x:c>
      <x:c r="G36" s="3" t="str">
        <x:v>CMS-3652-28L200</x:v>
      </x:c>
      <x:c r="H36" s="3" t="str">
        <x:v>Digi-Key</x:v>
      </x:c>
      <x:c r="I36" s="3" t="str">
        <x:v>https://www.digikey.com/en/products/detail/same-sky-formerly-cui-devices/CMS-3652-28L200/29778294</x:v>
      </x:c>
      <x:c r="J36" s="3" t="str">
        <x:v>https://www.mouser.com/datasheet/3/6118/1/cms_3652_28x.pdf</x:v>
      </x:c>
      <x:c r="K36" s="3" t="str">
        <x:v>External speaker via J5</x:v>
      </x:c>
      <x:c r="L36" s="3" t="str">
        <x:v>CMS-4065-28L200 (candidate; verify dimensions, impedance and sound output)</x:v>
      </x:c>
      <x:c r="M36" s="3" t="str">
        <x:v>8 ohm, 2 W, wired speaker</x:v>
      </x:c>
      <x:c r="N36" s="3" t="str">
        <x:v>Three per supplied reference. Keep current amplifier design; actual loudness still requires testing.</x:v>
      </x:c>
      <x:c r="O36" s="8" t="n">
        <x:v>3</x:v>
      </x:c>
      <x:c r="P36" s="8" t="n">
        <x:v>0</x:v>
      </x:c>
      <x:c r="Q36" s="3" t="str">
        <x:v>Buy</x:v>
      </x:c>
    </x:row>
    <x:row r="37" ht="96" customHeight="1">
      <x:c r="A37" s="3" t="str">
        <x:v>Female headers for Curiosity Nano</x:v>
      </x:c>
      <x:c r="B37" s="3" t="n">
        <x:v>2</x:v>
      </x:c>
      <x:c r="C37" s="3" t="n">
        <x:f>IF(OR(Q37="Available; check spare quantity",Q37="Covered by shared strips",Q37="Class-issued; verify receipt",Q37="Team decision"),0,IF(AND(ISNUMBER(O37),ISNUMBER(P37)),MAX(O37-P37,0),""))</x:f>
        <x:v>0</x:v>
      </x:c>
      <x:c r="D37" s="7"/>
      <x:c r="E37" s="7" t="n">
        <x:f>IF(ISNUMBER(C37),IF(C37=0,0,IF(ISNUMBER(D37),ROUND(C37*D37,2),"")),"")</x:f>
        <x:v>0</x:v>
      </x:c>
      <x:c r="F37" s="3"/>
      <x:c r="G37" s="3"/>
      <x:c r="H37" s="3" t="str">
        <x:v>Already available</x:v>
      </x:c>
      <x:c r="I37" s="3"/>
      <x:c r="J37" s="3"/>
      <x:c r="K37" s="3" t="str">
        <x:v>U2 mating headers</x:v>
      </x:c>
      <x:c r="L37" s="3"/>
      <x:c r="M37" s="3" t="str">
        <x:v>Through-hole, pitch and pin count to confirm</x:v>
      </x:c>
      <x:c r="N37" s="3" t="str">
        <x:v>User confirmed matching Nano headers already available; purchase quantity zero. Exact MPN and spare count are not recorded.</x:v>
      </x:c>
      <x:c r="O37" s="8" t="n">
        <x:v>6</x:v>
      </x:c>
      <x:c r="P37" s="8"/>
      <x:c r="Q37" s="3" t="str">
        <x:v>Available; check spare quantity</x:v>
      </x:c>
    </x:row>
    <x:row r="38" ht="96" customHeight="1">
      <x:c r="A38" s="3" t="str">
        <x:v>TO-220 heatsink</x:v>
      </x:c>
      <x:c r="B38" s="3" t="n">
        <x:v>1</x:v>
      </x:c>
      <x:c r="C38" s="3" t="n">
        <x:f>IF(OR(Q38="Available; check spare quantity",Q38="Covered by shared strips",Q38="Class-issued; verify receipt",Q38="Team decision"),0,IF(AND(ISNUMBER(O38),ISNUMBER(P38)),MAX(O38-P38,0),""))</x:f>
        <x:v>2</x:v>
      </x:c>
      <x:c r="D38" s="7" t="n">
        <x:v>0.68</x:v>
      </x:c>
      <x:c r="E38" s="7" t="n">
        <x:f>IF(ISNUMBER(C38),IF(C38=0,0,IF(ISNUMBER(D38),ROUND(C38*D38,2),"")),"")</x:f>
        <x:v>1.36</x:v>
      </x:c>
      <x:c r="F38" s="3" t="str">
        <x:v>Advanced Thermal Solutions</x:v>
      </x:c>
      <x:c r="G38" s="3" t="str">
        <x:v>ATS-PCBT1085</x:v>
      </x:c>
      <x:c r="H38" s="3" t="str">
        <x:v>Digi-Key</x:v>
      </x:c>
      <x:c r="I38" s="3" t="str">
        <x:v>https://www.digikey.com/en/products/detail/advanced-thermal-solutions-inc/ATS-PCBT1085/5030505</x:v>
      </x:c>
      <x:c r="J38" s="3" t="str">
        <x:v>https://media.digikey.com/pdf/Data%20Sheets/Advanced%20Thermal%20Solutions%20PDFs/stamped_hs_catalog_R6.pdf</x:v>
      </x:c>
      <x:c r="K38" s="3" t="str">
        <x:v>U1 heatsink</x:v>
      </x:c>
      <x:c r="L38" s="3"/>
      <x:c r="M38" s="3" t="str">
        <x:v>TO-220 clip-on, 27.3 C/W natural convection</x:v>
      </x:c>
      <x:c r="N38" s="3" t="str">
        <x:v>Two selected within reference range 2-3. Clip attachment avoids separate screws. Verify temperature with actual regulator dissipation and enclosure.</x:v>
      </x:c>
      <x:c r="O38" s="8" t="n">
        <x:v>2</x:v>
      </x:c>
      <x:c r="P38" s="8" t="n">
        <x:v>0</x:v>
      </x:c>
      <x:c r="Q38" s="3" t="str">
        <x:v>Buy</x:v>
      </x:c>
    </x:row>
    <x:row r="39" ht="96" customHeight="1">
      <x:c r="A39" s="3" t="str">
        <x:v>14-pin DIP socket, 7.62 mm row spacing</x:v>
      </x:c>
      <x:c r="B39" s="3" t="n">
        <x:v>1</x:v>
      </x:c>
      <x:c r="C39" s="3" t="n">
        <x:v>3</x:v>
      </x:c>
      <x:c r="D39" s="7"/>
      <x:c r="E39" s="7" t="str">
        <x:v>Excluded (PRLTA)</x:v>
      </x:c>
      <x:c r="F39" s="3" t="str">
        <x:v>On Shore Technology</x:v>
      </x:c>
      <x:c r="G39" s="3" t="str">
        <x:v>ED14DT</x:v>
      </x:c>
      <x:c r="H39" s="3" t="str">
        <x:v>Peralta / PRLTA</x:v>
      </x:c>
      <x:c r="I39" s="3" t="str">
        <x:v>https://www.dropbox.com/scl/fi/2vn7lf6sw42n8gvxrnfy8/Spring-2023-Order-Planning.xlsx?rlkey=sb7mjh9vm48ac2a8zcb9fryed&amp;dl=0</x:v>
      </x:c>
      <x:c r="J39" s="3" t="str">
        <x:v>https://www.dropbox.com/scl/fi/2vn7lf6sw42n8gvxrnfy8/Spring-2023-Order-Planning.xlsx?rlkey=sb7mjh9vm48ac2a8zcb9fryed&amp;dl=0</x:v>
      </x:c>
      <x:c r="K39" s="3" t="str">
        <x:v>U3 socket</x:v>
      </x:c>
      <x:c r="L39" s="3"/>
      <x:c r="M39" s="3" t="str">
        <x:v>Use actual issued-part package</x:v>
      </x:c>
      <x:c r="N39" s="3" t="str">
        <x:v>Course list row 78; not a shelf/bin number. List links ED14DT. Required quantity is a request, not a claim of receipt. Former Digi-Key MPN ED14DT is a backup reference only.</x:v>
      </x:c>
      <x:c r="O39" s="8" t="n">
        <x:v>3</x:v>
      </x:c>
      <x:c r="P39" s="8" t="n">
        <x:v>0</x:v>
      </x:c>
      <x:c r="Q39" s="3" t="str">
        <x:v>Peralta request</x:v>
      </x:c>
    </x:row>
    <x:row r="40" ht="96" customHeight="1">
      <x:c r="A40" s="3" t="str">
        <x:v>LCD male pin header, 1 x 16</x:v>
      </x:c>
      <x:c r="B40" s="3" t="n">
        <x:v>1</x:v>
      </x:c>
      <x:c r="C40" s="3" t="n">
        <x:f>IF(OR(Q40="Available; check spare quantity",Q40="Covered by shared strips",Q40="Class-issued; verify receipt",Q40="Team decision"),0,IF(AND(ISNUMBER(O40),ISNUMBER(P40)),MAX(O40-P40,0),""))</x:f>
        <x:v>0</x:v>
      </x:c>
      <x:c r="D40" s="7"/>
      <x:c r="E40" s="7" t="n">
        <x:f>IF(ISNUMBER(C40),IF(C40=0,0,IF(ISNUMBER(D40),ROUND(C40*D40,2),"")),"")</x:f>
        <x:v>0</x:v>
      </x:c>
      <x:c r="F40" s="3" t="str">
        <x:v>Sullins</x:v>
      </x:c>
      <x:c r="G40" s="3" t="str">
        <x:v>Cut from Peralta 2.54 mm male strips</x:v>
      </x:c>
      <x:c r="H40" s="3" t="str">
        <x:v>Included in Peralta male header stock</x:v>
      </x:c>
      <x:c r="I40" s="3" t="str">
        <x:v>https://www.digikey.com/en/products/detail/sullins-connector-solutions/PRPC040SAAN-RC/2775214</x:v>
      </x:c>
      <x:c r="J40" s="3" t="str">
        <x:v>https://media.digikey.com/PDF/Data%20Sheets/Sullins%20PDFs/xRxCzzzSxxN-RC_ST_11635-B.pdf</x:v>
      </x:c>
      <x:c r="K40" s="3" t="str">
        <x:v>J4 LCD male header</x:v>
      </x:c>
      <x:c r="L40" s="3"/>
      <x:c r="M40" s="3" t="str">
        <x:v>Through-hole, pitch to match LCD</x:v>
      </x:c>
      <x:c r="N40" s="3" t="str">
        <x:v>Allocated from three Peralta 40-pin strips; no separate Digi-Key purchase or duplicated cost.</x:v>
      </x:c>
      <x:c r="O40" s="8" t="n">
        <x:v>3</x:v>
      </x:c>
      <x:c r="P40" s="8"/>
      <x:c r="Q40" s="3" t="str">
        <x:v>Covered by shared strips</x:v>
      </x:c>
    </x:row>
    <x:row r="41" ht="96" customHeight="1">
      <x:c r="A41" s="3" t="str">
        <x:v>40-position 2.54 mm female header strip</x:v>
      </x:c>
      <x:c r="B41" s="3" t="n">
        <x:v>1</x:v>
      </x:c>
      <x:c r="C41" s="3" t="n">
        <x:v>2</x:v>
      </x:c>
      <x:c r="D41" s="7"/>
      <x:c r="E41" s="7" t="str">
        <x:v>Excluded (PRLTA)</x:v>
      </x:c>
      <x:c r="F41" s="3" t="str">
        <x:v>Unmarked course stock</x:v>
      </x:c>
      <x:c r="G41" s="3" t="str">
        <x:v>See required specification</x:v>
      </x:c>
      <x:c r="H41" s="3" t="str">
        <x:v>Peralta / PRLTA</x:v>
      </x:c>
      <x:c r="I41" s="3" t="str">
        <x:v>https://www.dropbox.com/scl/fi/2vn7lf6sw42n8gvxrnfy8/Spring-2023-Order-Planning.xlsx?rlkey=sb7mjh9vm48ac2a8zcb9fryed&amp;dl=0</x:v>
      </x:c>
      <x:c r="J41" s="3" t="str">
        <x:v>https://www.dropbox.com/scl/fi/2vn7lf6sw42n8gvxrnfy8/Spring-2023-Order-Planning.xlsx?rlkey=sb7mjh9vm48ac2a8zcb9fryed&amp;dl=0</x:v>
      </x:c>
      <x:c r="K41" s="3" t="str">
        <x:v>J4 PCB socket</x:v>
      </x:c>
      <x:c r="L41" s="3"/>
      <x:c r="M41" s="3" t="str">
        <x:v>Use actual issued-part package</x:v>
      </x:c>
      <x:c r="N41" s="3" t="str">
        <x:v>Course list row 76; not a shelf/bin number. Two 40-position strips provide three 16-position LCD sockets after cutting; allow sacrificial contacts when cutting. Required quantity is a request, not a claim of receipt. Former Digi-Key MPN PPPC161LFBN-RC is a backup reference only.</x:v>
      </x:c>
      <x:c r="O41" s="8" t="n">
        <x:v>3</x:v>
      </x:c>
      <x:c r="P41" s="8" t="n">
        <x:v>0</x:v>
      </x:c>
      <x:c r="Q41" s="3" t="str">
        <x:v>Peralta request</x:v>
      </x:c>
    </x:row>
    <x:row r="42" ht="96" customHeight="1">
      <x:c r="A42" s="3" t="str">
        <x:v>Ribbon cable assembly, 8 conductors, 2 x 4 IDC ends</x:v>
      </x:c>
      <x:c r="B42" s="3" t="n">
        <x:v>1</x:v>
      </x:c>
      <x:c r="C42" s="3" t="n">
        <x:f>IF(OR(Q42="Available; check spare quantity",Q42="Covered by shared strips",Q42="Class-issued; verify receipt",Q42="Team decision"),0,IF(AND(ISNUMBER(O42),ISNUMBER(P42)),MAX(O42-P42,0),""))</x:f>
        <x:v>0</x:v>
      </x:c>
      <x:c r="D42" s="7"/>
      <x:c r="E42" s="7" t="n">
        <x:f>IF(ISNUMBER(C42),IF(C42=0,0,IF(ISNUMBER(D42),ROUND(C42*D42,2),"")),"")</x:f>
        <x:v>0</x:v>
      </x:c>
      <x:c r="F42" s="3"/>
      <x:c r="G42" s="3" t="str">
        <x:v>Team selection pending</x:v>
      </x:c>
      <x:c r="H42" s="3" t="str">
        <x:v>Team purchase</x:v>
      </x:c>
      <x:c r="I42" s="3"/>
      <x:c r="J42" s="3"/>
      <x:c r="K42" s="3" t="str">
        <x:v>J1 cable</x:v>
      </x:c>
      <x:c r="L42" s="3"/>
      <x:c r="M42" s="3" t="str">
        <x:v>Pitch and keying to match J1</x:v>
      </x:c>
      <x:c r="N42" s="3" t="str">
        <x:v>Reference says team decides purchaser, length and quantity. Excluded from this individual order, not assumed free. Must match 2x4, 2.54 mm J1 and pin-1 orientation.</x:v>
      </x:c>
      <x:c r="O42" s="8"/>
      <x:c r="P42" s="8"/>
      <x:c r="Q42" s="3" t="str">
        <x:v>Team decision</x:v>
      </x:c>
    </x:row>
    <x:row r="43" ht="96" customHeight="1">
      <x:c r="A43" s="3" t="str">
        <x:v>5 x 20 mm PCB fuse holder</x:v>
      </x:c>
      <x:c r="B43" s="3" t="n">
        <x:v>1</x:v>
      </x:c>
      <x:c r="C43" s="3" t="n">
        <x:v>3</x:v>
      </x:c>
      <x:c r="D43" s="7"/>
      <x:c r="E43" s="7" t="str">
        <x:v>Excluded (PRLTA)</x:v>
      </x:c>
      <x:c r="F43" s="3" t="str">
        <x:v>Keystone</x:v>
      </x:c>
      <x:c r="G43" s="3" t="str">
        <x:v>4628 (course-list candidate)</x:v>
      </x:c>
      <x:c r="H43" s="3" t="str">
        <x:v>Peralta / PRLTA</x:v>
      </x:c>
      <x:c r="I43" s="3" t="str">
        <x:v>https://www.dropbox.com/scl/fi/2vn7lf6sw42n8gvxrnfy8/Spring-2023-Order-Planning.xlsx?rlkey=sb7mjh9vm48ac2a8zcb9fryed&amp;dl=0</x:v>
      </x:c>
      <x:c r="J43" s="3" t="str">
        <x:v>https://www.dropbox.com/scl/fi/2vn7lf6sw42n8gvxrnfy8/Spring-2023-Order-Planning.xlsx?rlkey=sb7mjh9vm48ac2a8zcb9fryed&amp;dl=0</x:v>
      </x:c>
      <x:c r="K43" s="3" t="str">
        <x:v>F1 holder</x:v>
      </x:c>
      <x:c r="L43" s="3"/>
      <x:c r="M43" s="3" t="str">
        <x:v>Use actual issued-part package</x:v>
      </x:c>
      <x:c r="N43" s="3" t="str">
        <x:v>Course list row 63; not a shelf/bin number. List links Keystone 4628; use its actual drawing, not the prior 4527 footprint. Required quantity is a request, not a claim of receipt. Former Digi-Key MPN 4527 is a backup reference only.</x:v>
      </x:c>
      <x:c r="O43" s="8" t="n">
        <x:v>3</x:v>
      </x:c>
      <x:c r="P43" s="8" t="n">
        <x:v>0</x:v>
      </x:c>
      <x:c r="Q43" s="3" t="str">
        <x:v>Peralta request</x:v>
      </x:c>
    </x:row>
    <x:row r="44" ht="96" customHeight="1">
      <x:c r="A44" s="3" t="str">
        <x:v>Two-pin jumper shunt</x:v>
      </x:c>
      <x:c r="B44" s="3" t="n">
        <x:v>2</x:v>
      </x:c>
      <x:c r="C44" s="3" t="n">
        <x:f>IF(OR(Q44="Available; check spare quantity",Q44="Covered by shared strips",Q44="Class-issued; verify receipt",Q44="Team decision"),0,IF(AND(ISNUMBER(O44),ISNUMBER(P44)),MAX(O44-P44,0),""))</x:f>
        <x:v>6</x:v>
      </x:c>
      <x:c r="D44" s="7" t="n">
        <x:v>0.1</x:v>
      </x:c>
      <x:c r="E44" s="7" t="n">
        <x:f>IF(ISNUMBER(C44),IF(C44=0,0,IF(ISNUMBER(D44),ROUND(C44*D44,2),"")),"")</x:f>
        <x:v>0.6</x:v>
      </x:c>
      <x:c r="F44" s="3" t="str">
        <x:v>Sullins</x:v>
      </x:c>
      <x:c r="G44" s="3" t="str">
        <x:v>SPC02SYAN</x:v>
      </x:c>
      <x:c r="H44" s="3" t="str">
        <x:v>Digi-Key</x:v>
      </x:c>
      <x:c r="I44" s="3" t="str">
        <x:v>https://www.digikey.com/en/products/detail/sullins-connector-solutions/SPC02SYAN/76375</x:v>
      </x:c>
      <x:c r="J44" s="3" t="str">
        <x:v>https://www.sullinscorp.com/images/SPC02SYAN-0-3293.pdf</x:v>
      </x:c>
      <x:c r="K44" s="3" t="str">
        <x:v>JP1, JP2 shunts</x:v>
      </x:c>
      <x:c r="L44" s="3"/>
      <x:c r="M44" s="3" t="str">
        <x:v>2-pin 2.54 mm shorting shunt</x:v>
      </x:c>
      <x:c r="N44" s="3" t="str">
        <x:v>Six per supplied reference. Quantity 10 price is 0.029 each (0.29 total), cheaper than six at 0.10; retained six to follow reference quantities.</x:v>
      </x:c>
      <x:c r="O44" s="8" t="n">
        <x:v>6</x:v>
      </x:c>
      <x:c r="P44" s="8" t="n">
        <x:v>0</x:v>
      </x:c>
      <x:c r="Q44" s="3" t="str">
        <x:v>Buy</x:v>
      </x:c>
    </x:row>
    <x:row r="45" ht="96" customHeight="1">
      <x:c r="A45" s="3" t="str">
        <x:v>External wall adapter, 9 V, 3 A</x:v>
      </x:c>
      <x:c r="B45" s="3" t="n">
        <x:v>1</x:v>
      </x:c>
      <x:c r="C45" s="3" t="n">
        <x:f>IF(OR(Q45="Available; check spare quantity",Q45="Covered by shared strips",Q45="Class-issued; verify receipt",Q45="Team decision"),0,IF(AND(ISNUMBER(O45),ISNUMBER(P45)),MAX(O45-P45,0),""))</x:f>
        <x:v>0</x:v>
      </x:c>
      <x:c r="D45" s="7"/>
      <x:c r="E45" s="7" t="n">
        <x:f>IF(ISNUMBER(C45),IF(C45=0,0,IF(ISNUMBER(D45),ROUND(C45*D45,2),"")),"")</x:f>
        <x:v>0</x:v>
      </x:c>
      <x:c r="F45" s="3" t="str">
        <x:v>BestCH</x:v>
      </x:c>
      <x:c r="G45" s="3" t="str">
        <x:v>B09ZTKTLGW</x:v>
      </x:c>
      <x:c r="H45" s="3" t="str">
        <x:v>Class-issued stock (confirm quantity)</x:v>
      </x:c>
      <x:c r="I45" s="3"/>
      <x:c r="J45" s="3"/>
      <x:c r="K45" s="3" t="str">
        <x:v>External power adapter</x:v>
      </x:c>
      <x:c r="L45" s="3" t="str">
        <x:v>GST18A09-P1J (candidate; verify plug dimensions, polarity and approval)</x:v>
      </x:c>
      <x:c r="M45" s="3" t="str">
        <x:v>External wired supply</x:v>
      </x:c>
      <x:c r="N45" s="3" t="str">
        <x:v>Listed as class-issued in supplied reference. Not ordered in this plan; confirm received and functional. Replacement price is not part of current purchase total.</x:v>
      </x:c>
      <x:c r="O45" s="8" t="n">
        <x:v>1</x:v>
      </x:c>
      <x:c r="P45" s="8"/>
      <x:c r="Q45" s="3" t="str">
        <x:v>Class-issued; verify receipt</x:v>
      </x:c>
    </x:row>
    <x:row r="46" ht="96" customHeight="1">
      <x:c r="A46" t="str">
        <x:v>40-position 2.54 mm breakaway male header strip</x:v>
      </x:c>
      <x:c r="B46" t="n">
        <x:v>1</x:v>
      </x:c>
      <x:c r="C46" t="n">
        <x:v>3</x:v>
      </x:c>
      <x:c r="D46" s="10"/>
      <x:c r="E46" s="10" t="str">
        <x:v>Excluded (PRLTA)</x:v>
      </x:c>
      <x:c r="F46" t="str">
        <x:v>Unmarked course stock</x:v>
      </x:c>
      <x:c r="G46" t="str">
        <x:v>See required specification</x:v>
      </x:c>
      <x:c r="H46" t="str">
        <x:v>Peralta / PRLTA</x:v>
      </x:c>
      <x:c r="I46" t="str">
        <x:v>https://www.dropbox.com/scl/fi/2vn7lf6sw42n8gvxrnfy8/Spring-2023-Order-Planning.xlsx?rlkey=sb7mjh9vm48ac2a8zcb9fryed&amp;dl=0</x:v>
      </x:c>
      <x:c r="J46" t="str">
        <x:v>https://www.dropbox.com/scl/fi/2vn7lf6sw42n8gvxrnfy8/Spring-2023-Order-Planning.xlsx?rlkey=sb7mjh9vm48ac2a8zcb9fryed&amp;dl=0</x:v>
      </x:c>
      <x:c r="K46" t="str">
        <x:v>Shared male header stock</x:v>
      </x:c>
      <x:c r="L46" t="str"/>
      <x:c r="M46" t="str">
        <x:v>Use actual issued-part package</x:v>
      </x:c>
      <x:c r="N46" t="str">
        <x:v>Course list row 75; not a shelf/bin number. 120 pins: LCD 48 + GPIO 30 + jumper headers 12 + test points 14 = 104; 16 spare. Required quantity is a request, not a claim of receipt. Former Digi-Key MPN PRPC040SAAN-RC is a backup reference only.</x:v>
      </x:c>
      <x:c r="O46" t="n">
        <x:v>3</x:v>
      </x:c>
      <x:c r="P46" t="n">
        <x:v>0</x:v>
      </x:c>
      <x:c r="Q46" t="str">
        <x:v>Peralta request</x:v>
      </x:c>
    </x:row>
  </x:sheetData>
  <x:pageMargins left="0.7" right="0.7" top="0.75" bottom="0.75" header="0.3" footer="0.3"/>
  <x:tableParts count="1">
    <x:tablePart xmlns:r="http://schemas.openxmlformats.org/officeDocument/2006/relationships" r:id="R1426511952194e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5" hidden="0" customWidth="1"/>
    <x:col min="3" max="3" width="40" hidden="0" customWidth="1"/>
    <x:col min="4" max="4" width="40" hidden="0" customWidth="1"/>
    <x:col min="5" max="5" width="24" hidden="0" customWidth="1"/>
    <x:col min="6" max="6" width="65"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x:c r="A1" s="3" t="str">
        <x:v>Source:</x:v>
      </x:c>
      <x:c r="B1" s="3" t="str">
        <x:v>/Users/gaoduotao/Desktop/Subsystem Schematic Design Duotao Gao/Subsystem Schematic Design Duotao Gao.kicad_sch</x:v>
      </x:c>
      <x:c r="C1" s="3"/>
      <x:c r="D1" s="3"/>
      <x:c r="E1" s="3"/>
      <x:c r="F1" s="3"/>
      <x:c r="G1" s="3"/>
      <x:c r="H1" s="3"/>
      <x:c r="I1" s="3"/>
      <x:c r="J1" s="3"/>
      <x:c r="K1" s="3"/>
      <x:c r="L1" s="3"/>
      <x:c r="M1" s="3"/>
      <x:c r="N1" s="3"/>
    </x:row>
    <x:row r="2">
      <x:c r="A2" s="3" t="str">
        <x:v>Date:</x:v>
      </x:c>
      <x:c r="B2" s="3" t="str">
        <x:v>2026-10-29T15:12:23</x:v>
      </x:c>
      <x:c r="C2" s="3"/>
      <x:c r="D2" s="3"/>
      <x:c r="E2" s="3"/>
      <x:c r="F2" s="3"/>
      <x:c r="G2" s="3"/>
      <x:c r="H2" s="3"/>
      <x:c r="I2" s="3"/>
      <x:c r="J2" s="3"/>
      <x:c r="K2" s="3"/>
      <x:c r="L2" s="3"/>
      <x:c r="M2" s="3"/>
      <x:c r="N2" s="3"/>
    </x:row>
    <x:row r="3">
      <x:c r="A3" s="3" t="str">
        <x:v>Tool:</x:v>
      </x:c>
      <x:c r="B3" s="3" t="str">
        <x:v>Eeschema 10.0.5</x:v>
      </x:c>
      <x:c r="C3" s="3"/>
      <x:c r="D3" s="3"/>
      <x:c r="E3" s="3"/>
      <x:c r="F3" s="3"/>
      <x:c r="G3" s="3"/>
      <x:c r="H3" s="3"/>
      <x:c r="I3" s="3"/>
      <x:c r="J3" s="3"/>
      <x:c r="K3" s="3"/>
      <x:c r="L3" s="3"/>
      <x:c r="M3" s="3"/>
      <x:c r="N3" s="3"/>
    </x:row>
    <x:row r="4">
      <x:c r="A4" s="3" t="str">
        <x:v>Generator:</x:v>
      </x:c>
      <x:c r="B4" s="3" t="str">
        <x:v>/Applications/KiCad.app/Contents/SharedSupport/plugins/bom_csv_grouped_by_value.py</x:v>
      </x:c>
      <x:c r="C4" s="3"/>
      <x:c r="D4" s="3"/>
      <x:c r="E4" s="3"/>
      <x:c r="F4" s="3"/>
      <x:c r="G4" s="3"/>
      <x:c r="H4" s="3"/>
      <x:c r="I4" s="3"/>
      <x:c r="J4" s="3"/>
      <x:c r="K4" s="3"/>
      <x:c r="L4" s="3"/>
      <x:c r="M4" s="3"/>
      <x:c r="N4" s="3"/>
    </x:row>
    <x:row r="5">
      <x:c r="A5" s="3" t="str">
        <x:v>Component Count:</x:v>
      </x:c>
      <x:c r="B5" s="3" t="n">
        <x:v>49</x:v>
      </x:c>
      <x:c r="C5" s="3"/>
      <x:c r="D5" s="3"/>
      <x:c r="E5" s="3"/>
      <x:c r="F5" s="3"/>
      <x:c r="G5" s="3"/>
      <x:c r="H5" s="3"/>
      <x:c r="I5" s="3"/>
      <x:c r="J5" s="3"/>
      <x:c r="K5" s="3"/>
      <x:c r="L5" s="3"/>
      <x:c r="M5" s="3"/>
      <x:c r="N5" s="3"/>
    </x:row>
    <x:row r="6">
      <x:c r="A6" s="3"/>
      <x:c r="B6" s="3"/>
      <x:c r="C6" s="3"/>
      <x:c r="D6" s="3"/>
      <x:c r="E6" s="3"/>
      <x:c r="F6" s="3"/>
      <x:c r="G6" s="3"/>
      <x:c r="H6" s="3"/>
      <x:c r="I6" s="3"/>
      <x:c r="J6" s="3"/>
      <x:c r="K6" s="3"/>
      <x:c r="L6" s="3"/>
      <x:c r="M6" s="3"/>
      <x:c r="N6" s="3"/>
    </x:row>
    <x:row r="7">
      <x:c r="A7" s="3" t="str">
        <x:v>Collated Components:</x:v>
      </x:c>
      <x:c r="B7" s="3"/>
      <x:c r="C7" s="3"/>
      <x:c r="D7" s="3"/>
      <x:c r="E7" s="3"/>
      <x:c r="F7" s="3"/>
      <x:c r="G7" s="3"/>
      <x:c r="H7" s="3"/>
      <x:c r="I7" s="3"/>
      <x:c r="J7" s="3"/>
      <x:c r="K7" s="3"/>
      <x:c r="L7" s="3"/>
      <x:c r="M7" s="3"/>
      <x:c r="N7" s="3"/>
    </x:row>
    <x:row r="8">
      <x:c r="A8" s="3"/>
      <x:c r="B8" s="3"/>
      <x:c r="C8" s="3"/>
      <x:c r="D8" s="3"/>
      <x:c r="E8" s="3"/>
      <x:c r="F8" s="3"/>
      <x:c r="G8" s="3"/>
      <x:c r="H8" s="3"/>
      <x:c r="I8" s="3"/>
      <x:c r="J8" s="3"/>
      <x:c r="K8" s="3"/>
      <x:c r="L8" s="3"/>
      <x:c r="M8" s="3"/>
      <x:c r="N8" s="3"/>
    </x:row>
    <x:row r="9">
      <x:c r="A9" s="9" t="str">
        <x:v>Item</x:v>
      </x:c>
      <x:c r="B9" s="9" t="str">
        <x:v>Qty</x:v>
      </x:c>
      <x:c r="C9" s="9" t="str">
        <x:v>Reference(s)</x:v>
      </x:c>
      <x:c r="D9" s="9" t="str">
        <x:v>Value</x:v>
      </x:c>
      <x:c r="E9" s="9" t="str">
        <x:v>LibPart</x:v>
      </x:c>
      <x:c r="F9" s="9" t="str">
        <x:v>Footprint</x:v>
      </x:c>
      <x:c r="G9" s="9" t="str">
        <x:v>Datasheet</x:v>
      </x:c>
      <x:c r="H9" s="9" t="str">
        <x:v>DNP</x:v>
      </x:c>
      <x:c r="I9" s="9" t="str">
        <x:v>Datasheet</x:v>
      </x:c>
      <x:c r="J9" s="9" t="str">
        <x:v>Description</x:v>
      </x:c>
      <x:c r="K9" s="9" t="str">
        <x:v>Footprint</x:v>
      </x:c>
      <x:c r="L9" s="9" t="str">
        <x:v>Sim.Device</x:v>
      </x:c>
      <x:c r="M9" s="9" t="str">
        <x:v>Sim.Pins</x:v>
      </x:c>
      <x:c r="N9" s="9" t="str">
        <x:v>Sim.Type</x:v>
      </x:c>
    </x:row>
    <x:row r="10" ht="50" customHeight="1">
      <x:c r="A10" s="3" t="n">
        <x:v>1</x:v>
      </x:c>
      <x:c r="B10" s="3" t="n">
        <x:v>1</x:v>
      </x:c>
      <x:c r="C10" s="3" t="str">
        <x:v>C2</x:v>
      </x:c>
      <x:c r="D10" s="3" t="str">
        <x:v>0.33uF 50V</x:v>
      </x:c>
      <x:c r="E10" s="3" t="str">
        <x:v>Device:C</x:v>
      </x:c>
      <x:c r="F10" s="3" t="str">
        <x:v>Capacitor_THT:C_Disc_D5.0mm_W2.5mm_P5.00mm</x:v>
      </x:c>
      <x:c r="G10" s="3"/>
      <x:c r="H10" s="3"/>
      <x:c r="I10" s="3"/>
      <x:c r="J10" s="3" t="str">
        <x:v>Unpolarized capacitor</x:v>
      </x:c>
      <x:c r="K10" s="3" t="str">
        <x:v>Capacitor_THT:C_Disc_D5.0mm_W2.5mm_P5.00mm</x:v>
      </x:c>
      <x:c r="L10" s="3"/>
      <x:c r="M10" s="3"/>
      <x:c r="N10" s="3"/>
    </x:row>
    <x:row r="11" ht="50" customHeight="1">
      <x:c r="A11" s="3" t="n">
        <x:v>2</x:v>
      </x:c>
      <x:c r="B11" s="3" t="n">
        <x:v>1</x:v>
      </x:c>
      <x:c r="C11" s="3" t="str">
        <x:v>C3</x:v>
      </x:c>
      <x:c r="D11" s="3" t="str">
        <x:v>0.1uF 50V</x:v>
      </x:c>
      <x:c r="E11" s="3" t="str">
        <x:v>Device:C</x:v>
      </x:c>
      <x:c r="F11" s="3" t="str">
        <x:v>Capacitor_THT:C_Disc_D5.0mm_W2.5mm_P5.00mm</x:v>
      </x:c>
      <x:c r="G11" s="3"/>
      <x:c r="H11" s="3"/>
      <x:c r="I11" s="3"/>
      <x:c r="J11" s="3" t="str">
        <x:v>Unpolarized capacitor</x:v>
      </x:c>
      <x:c r="K11" s="3" t="str">
        <x:v>Capacitor_THT:C_Disc_D5.0mm_W2.5mm_P5.00mm</x:v>
      </x:c>
      <x:c r="L11" s="3"/>
      <x:c r="M11" s="3"/>
      <x:c r="N11" s="3"/>
    </x:row>
    <x:row r="12" ht="50" customHeight="1">
      <x:c r="A12" s="3" t="n">
        <x:v>3</x:v>
      </x:c>
      <x:c r="B12" s="3" t="n">
        <x:v>6</x:v>
      </x:c>
      <x:c r="C12" s="3" t="str">
        <x:v>C5, C8, C16, C17, C18, C19</x:v>
      </x:c>
      <x:c r="D12" s="3" t="str">
        <x:v>0.1uF 16V</x:v>
      </x:c>
      <x:c r="E12" s="3" t="str">
        <x:v>Device:C</x:v>
      </x:c>
      <x:c r="F12" s="3" t="str">
        <x:v>Capacitor_THT:C_Disc_D5.0mm_W2.5mm_P5.00mm</x:v>
      </x:c>
      <x:c r="G12" s="3"/>
      <x:c r="H12" s="3"/>
      <x:c r="I12" s="3"/>
      <x:c r="J12" s="3" t="str">
        <x:v>Unpolarized capacitor</x:v>
      </x:c>
      <x:c r="K12" s="3" t="str">
        <x:v>Capacitor_THT:C_Disc_D5.0mm_W2.5mm_P5.00mm</x:v>
      </x:c>
      <x:c r="L12" s="3"/>
      <x:c r="M12" s="3"/>
      <x:c r="N12" s="3"/>
    </x:row>
    <x:row r="13" ht="50" customHeight="1">
      <x:c r="A13" s="3" t="n">
        <x:v>4</x:v>
      </x:c>
      <x:c r="B13" s="3" t="n">
        <x:v>1</x:v>
      </x:c>
      <x:c r="C13" s="3" t="str">
        <x:v>C9</x:v>
      </x:c>
      <x:c r="D13" s="3" t="str">
        <x:v>1uF 16V</x:v>
      </x:c>
      <x:c r="E13" s="3" t="str">
        <x:v>Device:C</x:v>
      </x:c>
      <x:c r="F13" s="3" t="str">
        <x:v>Capacitor_THT:C_Disc_D5.0mm_W2.5mm_P5.00mm</x:v>
      </x:c>
      <x:c r="G13" s="3"/>
      <x:c r="H13" s="3"/>
      <x:c r="I13" s="3"/>
      <x:c r="J13" s="3" t="str">
        <x:v>Unpolarized capacitor</x:v>
      </x:c>
      <x:c r="K13" s="3" t="str">
        <x:v>Capacitor_THT:C_Disc_D5.0mm_W2.5mm_P5.00mm</x:v>
      </x:c>
      <x:c r="L13" s="3"/>
      <x:c r="M13" s="3"/>
      <x:c r="N13" s="3"/>
    </x:row>
    <x:row r="14" ht="50" customHeight="1">
      <x:c r="A14" s="3" t="n">
        <x:v>5</x:v>
      </x:c>
      <x:c r="B14" s="3" t="n">
        <x:v>1</x:v>
      </x:c>
      <x:c r="C14" s="3" t="str">
        <x:v>C14</x:v>
      </x:c>
      <x:c r="D14" s="3" t="str">
        <x:v>220uF 16V</x:v>
      </x:c>
      <x:c r="E14" s="3" t="str">
        <x:v>Device:C</x:v>
      </x:c>
      <x:c r="F14" s="3" t="str">
        <x:v>Capacitor_THT:CP_Radial_D6.3mm_P2.50mm</x:v>
      </x:c>
      <x:c r="G14" s="3"/>
      <x:c r="H14" s="3"/>
      <x:c r="I14" s="3"/>
      <x:c r="J14" s="3" t="str">
        <x:v>Unpolarized capacitor</x:v>
      </x:c>
      <x:c r="K14" s="3" t="str">
        <x:v>Capacitor_THT:CP_Radial_D6.3mm_P2.50mm</x:v>
      </x:c>
      <x:c r="L14" s="3"/>
      <x:c r="M14" s="3"/>
      <x:c r="N14" s="3"/>
    </x:row>
    <x:row r="15" ht="50" customHeight="1">
      <x:c r="A15" s="3" t="n">
        <x:v>6</x:v>
      </x:c>
      <x:c r="B15" s="3" t="n">
        <x:v>1</x:v>
      </x:c>
      <x:c r="C15" s="3" t="str">
        <x:v>C15</x:v>
      </x:c>
      <x:c r="D15" s="3" t="str">
        <x:v>0.1uF 16V(LCD VDD)</x:v>
      </x:c>
      <x:c r="E15" s="3" t="str">
        <x:v>Device:C</x:v>
      </x:c>
      <x:c r="F15" s="3" t="str">
        <x:v>Capacitor_THT:C_Disc_D5.0mm_W2.5mm_P5.00mm</x:v>
      </x:c>
      <x:c r="G15" s="3"/>
      <x:c r="H15" s="3"/>
      <x:c r="I15" s="3"/>
      <x:c r="J15" s="3" t="str">
        <x:v>Unpolarized capacitor</x:v>
      </x:c>
      <x:c r="K15" s="3" t="str">
        <x:v>Capacitor_THT:C_Disc_D5.0mm_W2.5mm_P5.00mm</x:v>
      </x:c>
      <x:c r="L15" s="3"/>
      <x:c r="M15" s="3"/>
      <x:c r="N15" s="3"/>
    </x:row>
    <x:row r="16" ht="50" customHeight="1">
      <x:c r="A16" s="3" t="n">
        <x:v>7</x:v>
      </x:c>
      <x:c r="B16" s="3" t="n">
        <x:v>1</x:v>
      </x:c>
      <x:c r="C16" s="3" t="str">
        <x:v>D1</x:v>
      </x:c>
      <x:c r="D16" s="3" t="str">
        <x:v>GreenLED（Power)</x:v>
      </x:c>
      <x:c r="E16" s="3" t="str">
        <x:v>Device:LED</x:v>
      </x:c>
      <x:c r="F16" s="3"/>
      <x:c r="G16" s="3"/>
      <x:c r="H16" s="3"/>
      <x:c r="I16" s="3"/>
      <x:c r="J16" s="3" t="str">
        <x:v>Light emitting diode</x:v>
      </x:c>
      <x:c r="K16" s="3"/>
      <x:c r="L16" s="3"/>
      <x:c r="M16" s="3" t="str">
        <x:v>1=K 2=A</x:v>
      </x:c>
      <x:c r="N16" s="3"/>
    </x:row>
    <x:row r="17" ht="50" customHeight="1">
      <x:c r="A17" s="3" t="n">
        <x:v>8</x:v>
      </x:c>
      <x:c r="B17" s="3" t="n">
        <x:v>1</x:v>
      </x:c>
      <x:c r="C17" s="3" t="str">
        <x:v>D2</x:v>
      </x:c>
      <x:c r="D17" s="3" t="str">
        <x:v>Red LED(debug)</x:v>
      </x:c>
      <x:c r="E17" s="3" t="str">
        <x:v>Device:LED</x:v>
      </x:c>
      <x:c r="F17" s="3"/>
      <x:c r="G17" s="3"/>
      <x:c r="H17" s="3"/>
      <x:c r="I17" s="3"/>
      <x:c r="J17" s="3" t="str">
        <x:v>Light emitting diode</x:v>
      </x:c>
      <x:c r="K17" s="3"/>
      <x:c r="L17" s="3"/>
      <x:c r="M17" s="3" t="str">
        <x:v>1=K 2=A</x:v>
      </x:c>
      <x:c r="N17" s="3"/>
    </x:row>
    <x:row r="18" ht="50" customHeight="1">
      <x:c r="A18" s="3" t="n">
        <x:v>9</x:v>
      </x:c>
      <x:c r="B18" s="3" t="n">
        <x:v>1</x:v>
      </x:c>
      <x:c r="C18" s="3" t="str">
        <x:v>D3</x:v>
      </x:c>
      <x:c r="D18" s="3" t="str">
        <x:v>1N5822</x:v>
      </x:c>
      <x:c r="E18" s="3" t="str">
        <x:v>Device:D</x:v>
      </x:c>
      <x:c r="F18" s="3"/>
      <x:c r="G18" s="3"/>
      <x:c r="H18" s="3"/>
      <x:c r="I18" s="3"/>
      <x:c r="J18" s="3" t="str">
        <x:v>Diode</x:v>
      </x:c>
      <x:c r="K18" s="3"/>
      <x:c r="L18" s="3" t="str">
        <x:v>D</x:v>
      </x:c>
      <x:c r="M18" s="3" t="str">
        <x:v>1=K 2=A</x:v>
      </x:c>
      <x:c r="N18" s="3"/>
    </x:row>
    <x:row r="19" ht="50" customHeight="1">
      <x:c r="A19" s="3" t="n">
        <x:v>10</x:v>
      </x:c>
      <x:c r="B19" s="3" t="n">
        <x:v>1</x:v>
      </x:c>
      <x:c r="C19" s="3" t="str">
        <x:v>F1</x:v>
      </x:c>
      <x:c r="D19" s="3" t="str">
        <x:v>1.5 A 5x20mm</x:v>
      </x:c>
      <x:c r="E19" s="3" t="str">
        <x:v>Device:Fuse</x:v>
      </x:c>
      <x:c r="F19" s="3"/>
      <x:c r="G19" s="3"/>
      <x:c r="H19" s="3"/>
      <x:c r="I19" s="3"/>
      <x:c r="J19" s="3" t="str">
        <x:v>Fuse</x:v>
      </x:c>
      <x:c r="K19" s="3"/>
      <x:c r="L19" s="3"/>
      <x:c r="M19" s="3"/>
      <x:c r="N19" s="3"/>
    </x:row>
    <x:row r="20" ht="50" customHeight="1">
      <x:c r="A20" s="3" t="n">
        <x:v>11</x:v>
      </x:c>
      <x:c r="B20" s="3" t="n">
        <x:v>1</x:v>
      </x:c>
      <x:c r="C20" s="3" t="str">
        <x:v>J1</x:v>
      </x:c>
      <x:c r="D20" s="3" t="str">
        <x:v>61200821621 (2x4 shrouded)Ribbon to Force Sensing Board</x:v>
      </x:c>
      <x:c r="E20" s="3" t="str">
        <x:v>Connector_Generic:Conn_02x04_Odd_Even</x:v>
      </x:c>
      <x:c r="F20" s="3"/>
      <x:c r="G20" s="3"/>
      <x:c r="H20" s="3"/>
      <x:c r="I20" s="3"/>
      <x:c r="J20" s="3" t="str">
        <x:v>Generic connector, double row, 02x04, odd/even pin numbering scheme (row 1 odd numbers, row 2 even numbers), script generated (kicad-library-utils/schlib/autogen/connector/)</x:v>
      </x:c>
      <x:c r="K20" s="3"/>
      <x:c r="L20" s="3"/>
      <x:c r="M20" s="3"/>
      <x:c r="N20" s="3"/>
    </x:row>
    <x:row r="21" ht="50" customHeight="1">
      <x:c r="A21" s="3" t="n">
        <x:v>12</x:v>
      </x:c>
      <x:c r="B21" s="3" t="n">
        <x:v>1</x:v>
      </x:c>
      <x:c r="C21" s="3" t="str">
        <x:v>J3</x:v>
      </x:c>
      <x:c r="D21" s="3" t="str">
        <x:v>PJ-102AH</x:v>
      </x:c>
      <x:c r="E21" s="3" t="str">
        <x:v>Connector:Barrel_Jack_Switch</x:v>
      </x:c>
      <x:c r="F21" s="3"/>
      <x:c r="G21" s="3"/>
      <x:c r="H21" s="3"/>
      <x:c r="I21" s="3"/>
      <x:c r="J21" s="3" t="str">
        <x:v>DC Barrel Jack with an internal switch</x:v>
      </x:c>
      <x:c r="K21" s="3"/>
      <x:c r="L21" s="3"/>
      <x:c r="M21" s="3"/>
      <x:c r="N21" s="3"/>
    </x:row>
    <x:row r="22" ht="50" customHeight="1">
      <x:c r="A22" s="3" t="n">
        <x:v>13</x:v>
      </x:c>
      <x:c r="B22" s="3" t="n">
        <x:v>1</x:v>
      </x:c>
      <x:c r="C22" s="3" t="str">
        <x:v>J4</x:v>
      </x:c>
      <x:c r="D22" s="3" t="str">
        <x:v>NHD-0216K1Z-FSW-FBW-L</x:v>
      </x:c>
      <x:c r="E22" s="3" t="str">
        <x:v>Connector_Generic:Conn_01x16</x:v>
      </x:c>
      <x:c r="F22" s="3"/>
      <x:c r="G22" s="3"/>
      <x:c r="H22" s="3"/>
      <x:c r="I22" s="3"/>
      <x:c r="J22" s="3" t="str">
        <x:v>Generic connector, single row, 01x16, script generated (kicad-library-utils/schlib/autogen/connector/)</x:v>
      </x:c>
      <x:c r="K22" s="3"/>
      <x:c r="L22" s="3"/>
      <x:c r="M22" s="3"/>
      <x:c r="N22" s="3"/>
    </x:row>
    <x:row r="23" ht="50" customHeight="1">
      <x:c r="A23" s="3" t="n">
        <x:v>14</x:v>
      </x:c>
      <x:c r="B23" s="3" t="n">
        <x:v>1</x:v>
      </x:c>
      <x:c r="C23" s="3" t="str">
        <x:v>J5</x:v>
      </x:c>
      <x:c r="D23" s="3" t="str">
        <x:v>OSTTE020161Speaker</x:v>
      </x:c>
      <x:c r="E23" s="3" t="str">
        <x:v>Connector:Screw_Terminal_01x02</x:v>
      </x:c>
      <x:c r="F23" s="3"/>
      <x:c r="G23" s="3"/>
      <x:c r="H23" s="3"/>
      <x:c r="I23" s="3"/>
      <x:c r="J23" s="3" t="str">
        <x:v>Generic screw terminal, single row, 01x02, script generated (kicad-library-utils/schlib/autogen/connector/)</x:v>
      </x:c>
      <x:c r="K23" s="3"/>
      <x:c r="L23" s="3"/>
      <x:c r="M23" s="3"/>
      <x:c r="N23" s="3"/>
    </x:row>
    <x:row r="24" ht="50" customHeight="1">
      <x:c r="A24" s="3" t="n">
        <x:v>15</x:v>
      </x:c>
      <x:c r="B24" s="3" t="n">
        <x:v>1</x:v>
      </x:c>
      <x:c r="C24" s="3" t="str">
        <x:v>J6</x:v>
      </x:c>
      <x:c r="D24" s="3" t="str">
        <x:v>Spare GPIO header1x10, 2.54 mm</x:v>
      </x:c>
      <x:c r="E24" s="3" t="str">
        <x:v>Connector_Generic:Conn_01x10</x:v>
      </x:c>
      <x:c r="F24" s="3"/>
      <x:c r="G24" s="3"/>
      <x:c r="H24" s="3"/>
      <x:c r="I24" s="3"/>
      <x:c r="J24" s="3" t="str">
        <x:v>Generic connector, single row, 01x10, script generated (kicad-library-utils/schlib/autogen/connector/)</x:v>
      </x:c>
      <x:c r="K24" s="3"/>
      <x:c r="L24" s="3"/>
      <x:c r="M24" s="3"/>
      <x:c r="N24" s="3"/>
    </x:row>
    <x:row r="25" ht="50" customHeight="1">
      <x:c r="A25" s="3" t="n">
        <x:v>16</x:v>
      </x:c>
      <x:c r="B25" s="3" t="n">
        <x:v>1</x:v>
      </x:c>
      <x:c r="C25" s="3" t="str">
        <x:v>JP1</x:v>
      </x:c>
      <x:c r="D25" s="3" t="str">
        <x:v>+5V-VTG</x:v>
      </x:c>
      <x:c r="E25" s="3" t="str">
        <x:v>Jumper:Jumper_2_Open</x:v>
      </x:c>
      <x:c r="F25" s="3"/>
      <x:c r="G25" s="3"/>
      <x:c r="H25" s="3"/>
      <x:c r="I25" s="3"/>
      <x:c r="J25" s="3" t="str">
        <x:v>Jumper, 2-pole, open</x:v>
      </x:c>
      <x:c r="K25" s="3"/>
      <x:c r="L25" s="3"/>
      <x:c r="M25" s="3"/>
      <x:c r="N25" s="3"/>
    </x:row>
    <x:row r="26" ht="50" customHeight="1">
      <x:c r="A26" s="3" t="n">
        <x:v>17</x:v>
      </x:c>
      <x:c r="B26" s="3" t="n">
        <x:v>1</x:v>
      </x:c>
      <x:c r="C26" s="3" t="str">
        <x:v>JP2</x:v>
      </x:c>
      <x:c r="D26" s="3" t="str">
        <x:v>VOFF-GND</x:v>
      </x:c>
      <x:c r="E26" s="3" t="str">
        <x:v>Jumper:Jumper_2_Open</x:v>
      </x:c>
      <x:c r="F26" s="3"/>
      <x:c r="G26" s="3"/>
      <x:c r="H26" s="3"/>
      <x:c r="I26" s="3"/>
      <x:c r="J26" s="3" t="str">
        <x:v>Jumper, 2-pole, open</x:v>
      </x:c>
      <x:c r="K26" s="3"/>
      <x:c r="L26" s="3"/>
      <x:c r="M26" s="3"/>
      <x:c r="N26" s="3"/>
    </x:row>
    <x:row r="27" ht="50" customHeight="1">
      <x:c r="A27" s="3" t="n">
        <x:v>18</x:v>
      </x:c>
      <x:c r="B27" s="3" t="n">
        <x:v>2</x:v>
      </x:c>
      <x:c r="C27" s="3" t="str">
        <x:v>R1, R11</x:v>
      </x:c>
      <x:c r="D27" s="3" t="str">
        <x:v>1k 1/4W</x:v>
      </x:c>
      <x:c r="E27" s="3" t="str">
        <x:v>Device:R_US</x:v>
      </x:c>
      <x:c r="F27" s="3" t="str">
        <x:v>Resistor_THT:R_Axial_DIN0207_L6.3mm_D2.5mm_P10.16mm_Horizontal</x:v>
      </x:c>
      <x:c r="G27" s="3"/>
      <x:c r="H27" s="3"/>
      <x:c r="I27" s="3"/>
      <x:c r="J27" s="3" t="str">
        <x:v>Resistor, US symbol</x:v>
      </x:c>
      <x:c r="K27" s="3" t="str">
        <x:v>Resistor_THT:R_Axial_DIN0207_L6.3mm_D2.5mm_P10.16mm_Horizontal</x:v>
      </x:c>
      <x:c r="L27" s="3"/>
      <x:c r="M27" s="3"/>
      <x:c r="N27" s="3"/>
    </x:row>
    <x:row r="28" ht="50" customHeight="1">
      <x:c r="A28" s="3" t="n">
        <x:v>19</x:v>
      </x:c>
      <x:c r="B28" s="3" t="n">
        <x:v>1</x:v>
      </x:c>
      <x:c r="C28" s="3" t="str">
        <x:v>R5</x:v>
      </x:c>
      <x:c r="D28" s="3" t="str">
        <x:v>100k 1/4W</x:v>
      </x:c>
      <x:c r="E28" s="3" t="str">
        <x:v>Device:R_US</x:v>
      </x:c>
      <x:c r="F28" s="3" t="str">
        <x:v>Resistor_THT:R_Axial_DIN0207_L6.3mm_D2.5mm_P10.16mm_Horizontal</x:v>
      </x:c>
      <x:c r="G28" s="3"/>
      <x:c r="H28" s="3"/>
      <x:c r="I28" s="3"/>
      <x:c r="J28" s="3" t="str">
        <x:v>Resistor, US symbol</x:v>
      </x:c>
      <x:c r="K28" s="3" t="str">
        <x:v>Resistor_THT:R_Axial_DIN0207_L6.3mm_D2.5mm_P10.16mm_Horizontal</x:v>
      </x:c>
      <x:c r="L28" s="3"/>
      <x:c r="M28" s="3"/>
      <x:c r="N28" s="3"/>
    </x:row>
    <x:row r="29" ht="50" customHeight="1">
      <x:c r="A29" s="3" t="n">
        <x:v>20</x:v>
      </x:c>
      <x:c r="B29" s="3" t="n">
        <x:v>4</x:v>
      </x:c>
      <x:c r="C29" s="3" t="str">
        <x:v>R7, R8, R9, R10</x:v>
      </x:c>
      <x:c r="D29" s="3" t="str">
        <x:v>10k 1/4W</x:v>
      </x:c>
      <x:c r="E29" s="3" t="str">
        <x:v>Device:R_US</x:v>
      </x:c>
      <x:c r="F29" s="3" t="str">
        <x:v>Resistor_THT:R_Axial_DIN0207_L6.3mm_D2.5mm_P10.16mm_Horizontal</x:v>
      </x:c>
      <x:c r="G29" s="3"/>
      <x:c r="H29" s="3"/>
      <x:c r="I29" s="3"/>
      <x:c r="J29" s="3" t="str">
        <x:v>Resistor, US symbol</x:v>
      </x:c>
      <x:c r="K29" s="3" t="str">
        <x:v>Resistor_THT:R_Axial_DIN0207_L6.3mm_D2.5mm_P10.16mm_Horizontal</x:v>
      </x:c>
      <x:c r="L29" s="3"/>
      <x:c r="M29" s="3"/>
      <x:c r="N29" s="3"/>
    </x:row>
    <x:row r="30" ht="50" customHeight="1">
      <x:c r="A30" s="3" t="n">
        <x:v>21</x:v>
      </x:c>
      <x:c r="B30" s="3" t="n">
        <x:v>1</x:v>
      </x:c>
      <x:c r="C30" s="3" t="str">
        <x:v>R12</x:v>
      </x:c>
      <x:c r="D30" s="3" t="str">
        <x:v>330 1/4W</x:v>
      </x:c>
      <x:c r="E30" s="3" t="str">
        <x:v>Device:R_US</x:v>
      </x:c>
      <x:c r="F30" s="3" t="str">
        <x:v>Resistor_THT:R_Axial_DIN0207_L6.3mm_D2.5mm_P10.16mm_Horizontal</x:v>
      </x:c>
      <x:c r="G30" s="3"/>
      <x:c r="H30" s="3"/>
      <x:c r="I30" s="3"/>
      <x:c r="J30" s="3" t="str">
        <x:v>Resistor, US symbol</x:v>
      </x:c>
      <x:c r="K30" s="3" t="str">
        <x:v>Resistor_THT:R_Axial_DIN0207_L6.3mm_D2.5mm_P10.16mm_Horizontal</x:v>
      </x:c>
      <x:c r="L30" s="3"/>
      <x:c r="M30" s="3"/>
      <x:c r="N30" s="3"/>
    </x:row>
    <x:row r="31" ht="50" customHeight="1">
      <x:c r="A31" s="3" t="n">
        <x:v>22</x:v>
      </x:c>
      <x:c r="B31" s="3" t="n">
        <x:v>1</x:v>
      </x:c>
      <x:c r="C31" s="3" t="str">
        <x:v>R13</x:v>
      </x:c>
      <x:c r="D31" s="3" t="str">
        <x:v>200k</x:v>
      </x:c>
      <x:c r="E31" s="3" t="str">
        <x:v>Device:R_US</x:v>
      </x:c>
      <x:c r="F31" s="3" t="str">
        <x:v>Resistor_THT:R_Axial_DIN0207_L6.3mm_D2.5mm_P10.16mm_Horizontal</x:v>
      </x:c>
      <x:c r="G31" s="3"/>
      <x:c r="H31" s="3"/>
      <x:c r="I31" s="3"/>
      <x:c r="J31" s="3" t="str">
        <x:v>Resistor, US symbol</x:v>
      </x:c>
      <x:c r="K31" s="3" t="str">
        <x:v>Resistor_THT:R_Axial_DIN0207_L6.3mm_D2.5mm_P10.16mm_Horizontal</x:v>
      </x:c>
      <x:c r="L31" s="3"/>
      <x:c r="M31" s="3"/>
      <x:c r="N31" s="3"/>
    </x:row>
    <x:row r="32" ht="50" customHeight="1">
      <x:c r="A32" s="3" t="n">
        <x:v>23</x:v>
      </x:c>
      <x:c r="B32" s="3" t="n">
        <x:v>2</x:v>
      </x:c>
      <x:c r="C32" s="3" t="str">
        <x:v>R14, R15</x:v>
      </x:c>
      <x:c r="D32" s="3" t="str">
        <x:v>10k</x:v>
      </x:c>
      <x:c r="E32" s="3" t="str">
        <x:v>Device:R_US</x:v>
      </x:c>
      <x:c r="F32" s="3" t="str">
        <x:v>Resistor_THT:R_Axial_DIN0207_L6.3mm_D2.5mm_P10.16mm_Horizontal</x:v>
      </x:c>
      <x:c r="G32" s="3"/>
      <x:c r="H32" s="3"/>
      <x:c r="I32" s="3"/>
      <x:c r="J32" s="3" t="str">
        <x:v>Resistor, US symbol</x:v>
      </x:c>
      <x:c r="K32" s="3" t="str">
        <x:v>Resistor_THT:R_Axial_DIN0207_L6.3mm_D2.5mm_P10.16mm_Horizontal</x:v>
      </x:c>
      <x:c r="L32" s="3"/>
      <x:c r="M32" s="3"/>
      <x:c r="N32" s="3"/>
    </x:row>
    <x:row r="33" ht="50" customHeight="1">
      <x:c r="A33" s="3" t="n">
        <x:v>24</x:v>
      </x:c>
      <x:c r="B33" s="3" t="n">
        <x:v>1</x:v>
      </x:c>
      <x:c r="C33" s="3" t="str">
        <x:v>R16</x:v>
      </x:c>
      <x:c r="D33" s="3" t="str">
        <x:v>330R / 0.25w</x:v>
      </x:c>
      <x:c r="E33" s="3" t="str">
        <x:v>Device:R_US</x:v>
      </x:c>
      <x:c r="F33" s="3" t="str">
        <x:v>Resistor_THT:R_Axial_DIN0207_L6.3mm_D2.5mm_P10.16mm_Horizontal</x:v>
      </x:c>
      <x:c r="G33" s="3"/>
      <x:c r="H33" s="3"/>
      <x:c r="I33" s="3"/>
      <x:c r="J33" s="3" t="str">
        <x:v>Resistor, US symbol</x:v>
      </x:c>
      <x:c r="K33" s="3" t="str">
        <x:v>Resistor_THT:R_Axial_DIN0207_L6.3mm_D2.5mm_P10.16mm_Horizontal</x:v>
      </x:c>
      <x:c r="L33" s="3"/>
      <x:c r="M33" s="3"/>
      <x:c r="N33" s="3"/>
    </x:row>
    <x:row r="34" ht="50" customHeight="1">
      <x:c r="A34" s="3" t="n">
        <x:v>25</x:v>
      </x:c>
      <x:c r="B34" s="3" t="n">
        <x:v>1</x:v>
      </x:c>
      <x:c r="C34" s="3" t="str">
        <x:v>RV1</x:v>
      </x:c>
      <x:c r="D34" s="3" t="str">
        <x:v>10k contrast</x:v>
      </x:c>
      <x:c r="E34" s="3" t="str">
        <x:v>Device:R_Potentiometer_Trim_US</x:v>
      </x:c>
      <x:c r="F34" s="3"/>
      <x:c r="G34" s="3"/>
      <x:c r="H34" s="3"/>
      <x:c r="I34" s="3"/>
      <x:c r="J34" s="3" t="str">
        <x:v>Trim-potentiometer, US symbol</x:v>
      </x:c>
      <x:c r="K34" s="3"/>
      <x:c r="L34" s="3" t="str">
        <x:v>R</x:v>
      </x:c>
      <x:c r="M34" s="3" t="str">
        <x:v>1=r0 2=wiper 3=r1</x:v>
      </x:c>
      <x:c r="N34" s="3" t="str">
        <x:v>POT</x:v>
      </x:c>
    </x:row>
    <x:row r="35" ht="50" customHeight="1">
      <x:c r="A35" s="3" t="n">
        <x:v>26</x:v>
      </x:c>
      <x:c r="B35" s="3" t="n">
        <x:v>1</x:v>
      </x:c>
      <x:c r="C35" s="3" t="str">
        <x:v>RV2</x:v>
      </x:c>
      <x:c r="D35" s="3" t="str">
        <x:v>10k volume</x:v>
      </x:c>
      <x:c r="E35" s="3" t="str">
        <x:v>Device:R_Potentiometer_Trim_US</x:v>
      </x:c>
      <x:c r="F35" s="3"/>
      <x:c r="G35" s="3"/>
      <x:c r="H35" s="3"/>
      <x:c r="I35" s="3"/>
      <x:c r="J35" s="3" t="str">
        <x:v>Trim-potentiometer, US symbol</x:v>
      </x:c>
      <x:c r="K35" s="3"/>
      <x:c r="L35" s="3" t="str">
        <x:v>R</x:v>
      </x:c>
      <x:c r="M35" s="3" t="str">
        <x:v>1=r0 2=wiper 3=r1</x:v>
      </x:c>
      <x:c r="N35" s="3" t="str">
        <x:v>POT</x:v>
      </x:c>
    </x:row>
    <x:row r="36" ht="50" customHeight="1">
      <x:c r="A36" s="3" t="n">
        <x:v>27</x:v>
      </x:c>
      <x:c r="B36" s="3" t="n">
        <x:v>1</x:v>
      </x:c>
      <x:c r="C36" s="3" t="str">
        <x:v>SW1</x:v>
      </x:c>
      <x:c r="D36" s="3" t="str">
        <x:v>START/STOP</x:v>
      </x:c>
      <x:c r="E36" s="3" t="str">
        <x:v>Switch:SW_Push</x:v>
      </x:c>
      <x:c r="F36" s="3"/>
      <x:c r="G36" s="3"/>
      <x:c r="H36" s="3"/>
      <x:c r="I36" s="3"/>
      <x:c r="J36" s="3" t="str">
        <x:v>Push button switch, generic, two pins</x:v>
      </x:c>
      <x:c r="K36" s="3"/>
      <x:c r="L36" s="3"/>
      <x:c r="M36" s="3"/>
      <x:c r="N36" s="3"/>
    </x:row>
    <x:row r="37" ht="50" customHeight="1">
      <x:c r="A37" s="3" t="n">
        <x:v>28</x:v>
      </x:c>
      <x:c r="B37" s="3" t="n">
        <x:v>1</x:v>
      </x:c>
      <x:c r="C37" s="3" t="str">
        <x:v>SW2</x:v>
      </x:c>
      <x:c r="D37" s="3" t="str">
        <x:v>UP</x:v>
      </x:c>
      <x:c r="E37" s="3" t="str">
        <x:v>Switch:SW_Push</x:v>
      </x:c>
      <x:c r="F37" s="3"/>
      <x:c r="G37" s="3"/>
      <x:c r="H37" s="3"/>
      <x:c r="I37" s="3"/>
      <x:c r="J37" s="3" t="str">
        <x:v>Push button switch, generic, two pins</x:v>
      </x:c>
      <x:c r="K37" s="3"/>
      <x:c r="L37" s="3"/>
      <x:c r="M37" s="3"/>
      <x:c r="N37" s="3"/>
    </x:row>
    <x:row r="38" ht="50" customHeight="1">
      <x:c r="A38" s="3" t="n">
        <x:v>29</x:v>
      </x:c>
      <x:c r="B38" s="3" t="n">
        <x:v>1</x:v>
      </x:c>
      <x:c r="C38" s="3" t="str">
        <x:v>SW3</x:v>
      </x:c>
      <x:c r="D38" s="3" t="str">
        <x:v>DOWN</x:v>
      </x:c>
      <x:c r="E38" s="3" t="str">
        <x:v>Switch:SW_Push</x:v>
      </x:c>
      <x:c r="F38" s="3"/>
      <x:c r="G38" s="3"/>
      <x:c r="H38" s="3"/>
      <x:c r="I38" s="3"/>
      <x:c r="J38" s="3" t="str">
        <x:v>Push button switch, generic, two pins</x:v>
      </x:c>
      <x:c r="K38" s="3"/>
      <x:c r="L38" s="3"/>
      <x:c r="M38" s="3"/>
      <x:c r="N38" s="3"/>
    </x:row>
    <x:row r="39" ht="50" customHeight="1">
      <x:c r="A39" s="3" t="n">
        <x:v>30</x:v>
      </x:c>
      <x:c r="B39" s="3" t="n">
        <x:v>1</x:v>
      </x:c>
      <x:c r="C39" s="3" t="str">
        <x:v>SW4</x:v>
      </x:c>
      <x:c r="D39" s="3" t="str">
        <x:v>DEBUG</x:v>
      </x:c>
      <x:c r="E39" s="3" t="str">
        <x:v>Switch:SW_Push</x:v>
      </x:c>
      <x:c r="F39" s="3"/>
      <x:c r="G39" s="3"/>
      <x:c r="H39" s="3"/>
      <x:c r="I39" s="3"/>
      <x:c r="J39" s="3" t="str">
        <x:v>Push button switch, generic, two pins</x:v>
      </x:c>
      <x:c r="K39" s="3"/>
      <x:c r="L39" s="3"/>
      <x:c r="M39" s="3"/>
      <x:c r="N39" s="3"/>
    </x:row>
    <x:row r="40" ht="50" customHeight="1">
      <x:c r="A40" s="3" t="n">
        <x:v>31</x:v>
      </x:c>
      <x:c r="B40" s="3" t="n">
        <x:v>1</x:v>
      </x:c>
      <x:c r="C40" s="3" t="str">
        <x:v>TP1</x:v>
      </x:c>
      <x:c r="D40" s="3" t="str">
        <x:v>~</x:v>
      </x:c>
      <x:c r="E40" s="3" t="str">
        <x:v>Connector:TestPoint</x:v>
      </x:c>
      <x:c r="F40" s="3"/>
      <x:c r="G40" s="3"/>
      <x:c r="H40" s="3"/>
      <x:c r="I40" s="3"/>
      <x:c r="J40" s="3" t="str">
        <x:v>test point</x:v>
      </x:c>
      <x:c r="K40" s="3"/>
      <x:c r="L40" s="3"/>
      <x:c r="M40" s="3"/>
      <x:c r="N40" s="3"/>
    </x:row>
    <x:row r="41" ht="50" customHeight="1">
      <x:c r="A41" s="3" t="n">
        <x:v>32</x:v>
      </x:c>
      <x:c r="B41" s="3" t="n">
        <x:v>5</x:v>
      </x:c>
      <x:c r="C41" s="3" t="str">
        <x:v>TP2, TP3, TP4, TP5, TP6</x:v>
      </x:c>
      <x:c r="D41" s="3" t="str">
        <x:v>TestPoint</x:v>
      </x:c>
      <x:c r="E41" s="3" t="str">
        <x:v>Connector:TestPoint</x:v>
      </x:c>
      <x:c r="F41" s="3"/>
      <x:c r="G41" s="3"/>
      <x:c r="H41" s="3"/>
      <x:c r="I41" s="3"/>
      <x:c r="J41" s="3" t="str">
        <x:v>test point</x:v>
      </x:c>
      <x:c r="K41" s="3"/>
      <x:c r="L41" s="3"/>
      <x:c r="M41" s="3"/>
      <x:c r="N41" s="3"/>
    </x:row>
    <x:row r="42" ht="50" customHeight="1">
      <x:c r="A42" s="3" t="n">
        <x:v>33</x:v>
      </x:c>
      <x:c r="B42" s="3" t="n">
        <x:v>1</x:v>
      </x:c>
      <x:c r="C42" s="3" t="str">
        <x:v>U1</x:v>
      </x:c>
      <x:c r="D42" s="3" t="str">
        <x:v>L7805ABV-DG</x:v>
      </x:c>
      <x:c r="E42" s="3" t="str">
        <x:v>Regulator_Linear:L7805</x:v>
      </x:c>
      <x:c r="F42" s="3"/>
      <x:c r="G42" s="3" t="str">
        <x:v>http://www.st.com/content/ccc/resource/technical/document/datasheet/41/4f/b3/b0/12/d4/47/88/CD00000444.pdf/files/CD00000444.pdf/jcr:content/translations/en.CD00000444.pdf</x:v>
      </x:c>
      <x:c r="H42" s="3"/>
      <x:c r="I42" s="3" t="str">
        <x:v>http://www.st.com/content/ccc/resource/technical/document/datasheet/41/4f/b3/b0/12/d4/47/88/CD00000444.pdf/files/CD00000444.pdf/jcr:content/translations/en.CD00000444.pdf</x:v>
      </x:c>
      <x:c r="J42" s="3" t="str">
        <x:v>Positive 1.5A 35V Linear Regulator, Fixed Output 5V, TO-220/TO-263/TO-252</x:v>
      </x:c>
      <x:c r="K42" s="3"/>
      <x:c r="L42" s="3"/>
      <x:c r="M42" s="3"/>
      <x:c r="N42" s="3"/>
    </x:row>
    <x:row r="43" ht="50" customHeight="1">
      <x:c r="A43" s="3" t="n">
        <x:v>34</x:v>
      </x:c>
      <x:c r="B43" s="3" t="n">
        <x:v>1</x:v>
      </x:c>
      <x:c r="C43" s="3" t="str">
        <x:v>U2</x:v>
      </x:c>
      <x:c r="D43" s="3" t="str">
        <x:v>PIC18F57Q43 Curiosity Nano (DM164150) - GDT</x:v>
      </x:c>
      <x:c r="E43" s="3" t="str">
        <x:v>Duotao_Gao_New_Library:Duotao_Curiosity_Nano</x:v>
      </x:c>
      <x:c r="F43" s="3"/>
      <x:c r="G43" s="3"/>
      <x:c r="H43" s="3"/>
      <x:c r="I43" s="3"/>
      <x:c r="J43" s="3"/>
      <x:c r="K43" s="3"/>
      <x:c r="L43" s="3"/>
      <x:c r="M43" s="3"/>
      <x:c r="N43" s="3"/>
    </x:row>
    <x:row r="44" ht="50" customHeight="1">
      <x:c r="A44" s="3" t="n">
        <x:v>35</x:v>
      </x:c>
      <x:c r="B44" s="3" t="n">
        <x:v>1</x:v>
      </x:c>
      <x:c r="C44" s="3" t="str">
        <x:v>U3</x:v>
      </x:c>
      <x:c r="D44" s="3" t="str">
        <x:v>MCP6004</x:v>
      </x:c>
      <x:c r="E44" s="3" t="str">
        <x:v>Amplifier_Operational:MCP6004</x:v>
      </x:c>
      <x:c r="F44" s="3" t="str">
        <x:v>Package_DIP:DIP-14_W7.62mm_Socket</x:v>
      </x:c>
      <x:c r="G44" s="3" t="str">
        <x:v>http://ww1.microchip.com/downloads/en/DeviceDoc/21733j.pdf</x:v>
      </x:c>
      <x:c r="H44" s="3"/>
      <x:c r="I44" s="3" t="str">
        <x:v>http://ww1.microchip.com/downloads/en/DeviceDoc/21733j.pdf</x:v>
      </x:c>
      <x:c r="J44" s="3" t="str">
        <x:v>1MHz, Low-Power Op Amp, DIP-14/SOIC-14/TSSOP-14</x:v>
      </x:c>
      <x:c r="K44" s="3" t="str">
        <x:v>Package_DIP:DIP-14_W7.62mm_Socket</x:v>
      </x:c>
      <x:c r="L44" s="3"/>
      <x:c r="M44" s="3"/>
      <x:c r="N44"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33" hidden="0" customWidth="1"/>
    <x:col min="3" max="3" width="14" hidden="0" customWidth="1"/>
    <x:col min="4" max="4" width="12" hidden="0" customWidth="1"/>
    <x:col min="5" max="5" width="14" hidden="0" customWidth="1"/>
    <x:col min="6" max="6" width="70" hidden="0" customWidth="1"/>
    <x:col min="7" max="7" width="90" hidden="0" customWidth="1"/>
    <x:col min="8" max="8" width="35" hidden="0" customWidth="1"/>
    <x:col min="9" max="9" width="20" hidden="0" customWidth="1"/>
    <x:col min="10" max="10" width="18" hidden="0" customWidth="1"/>
  </x:cols>
  <x:sheetData>
    <x:row r="1" ht="42" customHeight="1">
      <x:c r="A1" s="14" t="str">
        <x:v>Ref / Use</x:v>
      </x:c>
      <x:c r="B1" s="14" t="str">
        <x:v>Quoted MPN</x:v>
      </x:c>
      <x:c r="C1" s="14" t="str">
        <x:v>Unit Price (USD)</x:v>
      </x:c>
      <x:c r="D1" s="14" t="str">
        <x:v>Qty Tier</x:v>
      </x:c>
      <x:c r="E1" s="14" t="str">
        <x:v>Supplier</x:v>
      </x:c>
      <x:c r="F1" s="14" t="str">
        <x:v>Product Link</x:v>
      </x:c>
      <x:c r="G1" s="14" t="str">
        <x:v>Quote Notes</x:v>
      </x:c>
      <x:c r="H1" s="14" t="str">
        <x:v>Digi-Key SKU</x:v>
      </x:c>
      <x:c r="I1" s="14" t="str">
        <x:v>Stock when retrieved</x:v>
      </x:c>
      <x:c r="J1" s="14" t="str">
        <x:v>Checked Date</x:v>
      </x:c>
    </x:row>
    <x:row r="2" ht="86" customHeight="1">
      <x:c r="A2" s="3" t="str">
        <x:v>C2</x:v>
      </x:c>
      <x:c r="B2" s="3" t="str">
        <x:v>FA28X7R1H334KRU00</x:v>
      </x:c>
      <x:c r="C2" s="7" t="n">
        <x:v>0.37</x:v>
      </x:c>
      <x:c r="D2" s="3" t="n">
        <x:v>1</x:v>
      </x:c>
      <x:c r="E2" s="3" t="str">
        <x:v>Digi-Key</x:v>
      </x:c>
      <x:c r="F2" s="3" t="str">
        <x:v>https://www.digikey.com/en/products/detail/tdk/FA28X7R1H334KRU00/7384656</x:v>
      </x:c>
      <x:c r="G2" s="3" t="str">
        <x:v>0.33 uF 50 V X7R nonpolar. Change generic disc footprint to the actual radial body and verify pad fit.</x:v>
      </x:c>
      <x:c r="H2" s="3" t="str">
        <x:v>445-FA28X7R1H334KRU00-ND</x:v>
      </x:c>
      <x:c r="I2" s="3" t="n">
        <x:v>446</x:v>
      </x:c>
      <x:c r="J2" s="3" t="str">
        <x:v>2026-10-29</x:v>
      </x:c>
    </x:row>
    <x:row r="3" ht="86" customHeight="1">
      <x:c r="A3" s="3" t="str">
        <x:v>C9</x:v>
      </x:c>
      <x:c r="B3" s="3" t="str">
        <x:v>FG28X5R1H105KRT00</x:v>
      </x:c>
      <x:c r="C3" s="7" t="n">
        <x:v>0.31</x:v>
      </x:c>
      <x:c r="D3" s="3" t="n">
        <x:v>1</x:v>
      </x:c>
      <x:c r="E3" s="3" t="str">
        <x:v>Digi-Key</x:v>
      </x:c>
      <x:c r="F3" s="3" t="str">
        <x:v>https://www.digikey.com/en/products/detail/tdk/FG28X5R1H105KRT00/7384818</x:v>
      </x:c>
      <x:c r="G3" s="3" t="str">
        <x:v>1 uF 50 V nonpolar ceramic; exceeds original 16 V rating. X5R capacitance varies with bias; verify audio response. Match radial footprint.</x:v>
      </x:c>
      <x:c r="H3" s="3" t="str">
        <x:v>445-180206-ND</x:v>
      </x:c>
      <x:c r="I3" s="3" t="n">
        <x:v>12155</x:v>
      </x:c>
      <x:c r="J3" s="3" t="str">
        <x:v>2026-10-29</x:v>
      </x:c>
    </x:row>
    <x:row r="4" ht="86" customHeight="1">
      <x:c r="A4" s="3" t="str">
        <x:v>C14</x:v>
      </x:c>
      <x:c r="B4" s="3" t="str">
        <x:v>16YXJ220MCR6.3X11</x:v>
      </x:c>
      <x:c r="C4" s="7" t="n">
        <x:v>0.45</x:v>
      </x:c>
      <x:c r="D4" s="3" t="n">
        <x:v>1</x:v>
      </x:c>
      <x:c r="E4" s="3" t="str">
        <x:v>Digi-Key</x:v>
      </x:c>
      <x:c r="F4" s="3" t="str">
        <x:v>https://www.digikey.com/en/products/detail/rubycon/16YXJ220MCR6-3X11/5429971</x:v>
      </x:c>
      <x:c r="G4" s="3" t="str">
        <x:v>220 uF 16 V polarized. Replaces obsolete UVR1C221MED in this procurement plan. Existing CP_Radial_D6.3mm_P2.50mm pad pattern; verify positive pad and clearance. Update schematic/BOM MPN before PCB.</x:v>
      </x:c>
      <x:c r="H4" s="3" t="str">
        <x:v>1189-16YXJ220MCR6.3X11-ND</x:v>
      </x:c>
      <x:c r="I4" s="3" t="n">
        <x:v>2654</x:v>
      </x:c>
      <x:c r="J4" s="3" t="str">
        <x:v>2026-10-29</x:v>
      </x:c>
    </x:row>
    <x:row r="5" ht="86" customHeight="1">
      <x:c r="A5" s="3" t="str">
        <x:v>D3</x:v>
      </x:c>
      <x:c r="B5" s="3" t="str">
        <x:v>1N5822</x:v>
      </x:c>
      <x:c r="C5" s="7" t="n">
        <x:v>0.71</x:v>
      </x:c>
      <x:c r="D5" s="3" t="n">
        <x:v>1</x:v>
      </x:c>
      <x:c r="E5" s="3" t="str">
        <x:v>Digi-Key</x:v>
      </x:c>
      <x:c r="F5" s="3" t="str">
        <x:v>https://www.digikey.com/en/products/detail/taiwan-semiconductor-corporation/1N5822/7366597</x:v>
      </x:c>
      <x:c r="G5" s="3" t="str">
        <x:v>40 V 3 A Schottky. Select Cut Tape, not full reel. Existing kit rectifier is not assumed equivalent.</x:v>
      </x:c>
      <x:c r="H5" s="3" t="str">
        <x:v>1801-1N5822CT-ND</x:v>
      </x:c>
      <x:c r="I5" s="3" t="n">
        <x:v>2319</x:v>
      </x:c>
      <x:c r="J5" s="3" t="str">
        <x:v>2026-10-29</x:v>
      </x:c>
    </x:row>
    <x:row r="6" ht="86" customHeight="1">
      <x:c r="A6" s="3" t="str">
        <x:v>F1</x:v>
      </x:c>
      <x:c r="B6" s="3" t="str">
        <x:v>BK/GMA-1.5-R</x:v>
      </x:c>
      <x:c r="C6" s="7" t="n">
        <x:v>0.81</x:v>
      </x:c>
      <x:c r="D6" s="3" t="n">
        <x:v>1</x:v>
      </x:c>
      <x:c r="E6" s="3" t="str">
        <x:v>Digi-Key</x:v>
      </x:c>
      <x:c r="F6" s="3" t="str">
        <x:v>https://www.digikey.com/en/products/detail/eaton-electronics-division/BK-GMA-1-5-R/1023965</x:v>
      </x:c>
      <x:c r="G6" s="3" t="str">
        <x:v>Proposed fast-acting 1.5 A fuse. Original schematic records 1.5 A 5x20 only; response type must be confirmed before ordering. Do not silently substitute slow blow.</x:v>
      </x:c>
      <x:c r="H6" s="3" t="str">
        <x:v>283-2834-ND</x:v>
      </x:c>
      <x:c r="I6" s="3" t="n">
        <x:v>1870</x:v>
      </x:c>
      <x:c r="J6" s="3" t="str">
        <x:v>2026-10-29</x:v>
      </x:c>
    </x:row>
    <x:row r="7" ht="86" customHeight="1">
      <x:c r="A7" s="3" t="str">
        <x:v>J1</x:v>
      </x:c>
      <x:c r="B7" s="3" t="str">
        <x:v>61200821621</x:v>
      </x:c>
      <x:c r="C7" s="7" t="n">
        <x:v>1.03</x:v>
      </x:c>
      <x:c r="D7" s="3" t="n">
        <x:v>1</x:v>
      </x:c>
      <x:c r="E7" s="3" t="str">
        <x:v>Digi-Key</x:v>
      </x:c>
      <x:c r="F7" s="3" t="str">
        <x:v>https://www.digikey.com/en/products/detail/w%C3%BCrth-elektronik/61200821621/4846916</x:v>
      </x:c>
      <x:c r="G7" s="3" t="str">
        <x:v>Match numbered pins, key orientation and the teammate cable before PCB.</x:v>
      </x:c>
      <x:c r="H7" s="3" t="str">
        <x:v>732-5395-ND</x:v>
      </x:c>
      <x:c r="I7" s="3" t="n">
        <x:v>7843</x:v>
      </x:c>
      <x:c r="J7" s="3" t="str">
        <x:v>2026-10-29</x:v>
      </x:c>
    </x:row>
    <x:row r="8" ht="86" customHeight="1">
      <x:c r="A8" s="3" t="str">
        <x:v>J3</x:v>
      </x:c>
      <x:c r="B8" s="3" t="str">
        <x:v>PJ-102AH</x:v>
      </x:c>
      <x:c r="C8" s="7" t="n">
        <x:v>0.83</x:v>
      </x:c>
      <x:c r="D8" s="3" t="n">
        <x:v>1</x:v>
      </x:c>
      <x:c r="E8" s="3" t="str">
        <x:v>Digi-Key</x:v>
      </x:c>
      <x:c r="F8" s="3" t="str">
        <x:v>https://www.digikey.com/en/products/detail/same-sky-formerly-cui-devices/PJ-102AH/408448</x:v>
      </x:c>
      <x:c r="G8" s="3" t="str">
        <x:v>Confirm issued adapter plug dimensions, center polarity and jack switch pin mapping before ordering.</x:v>
      </x:c>
      <x:c r="H8" s="3" t="str">
        <x:v>CP-102AH-ND</x:v>
      </x:c>
      <x:c r="I8" s="3" t="n">
        <x:v>62239</x:v>
      </x:c>
      <x:c r="J8" s="3" t="str">
        <x:v>2026-10-29</x:v>
      </x:c>
    </x:row>
    <x:row r="9" ht="86" customHeight="1">
      <x:c r="A9" s="3" t="str">
        <x:v>J4</x:v>
      </x:c>
      <x:c r="B9" s="3" t="str">
        <x:v>NHD-0216K1Z-FSW-FBW-L</x:v>
      </x:c>
      <x:c r="C9" s="7" t="n">
        <x:v>8.11</x:v>
      </x:c>
      <x:c r="D9" s="3" t="n">
        <x:v>1</x:v>
      </x:c>
      <x:c r="E9" s="3" t="str">
        <x:v>Digi-Key</x:v>
      </x:c>
      <x:c r="F9" s="3" t="str">
        <x:v>https://www.digikey.com/en/products/detail/newhaven-display-intl/NHD-0216K1Z-FSW-FBW-L/1701185</x:v>
      </x:c>
      <x:c r="G9" s="3" t="str">
        <x:v>Order two per supplied reference; optional third LCD is not included. Module approval remains a course check.</x:v>
      </x:c>
      <x:c r="H9" s="3" t="str">
        <x:v>NHD-0216K1Z-FSW-FBW-L-ND</x:v>
      </x:c>
      <x:c r="I9" s="3" t="n">
        <x:v>3275</x:v>
      </x:c>
      <x:c r="J9" s="3" t="str">
        <x:v>2026-10-29</x:v>
      </x:c>
    </x:row>
    <x:row r="10" ht="86" customHeight="1">
      <x:c r="A10" s="3" t="str">
        <x:v>J5</x:v>
      </x:c>
      <x:c r="B10" s="3" t="str">
        <x:v>OSTTE020161</x:v>
      </x:c>
      <x:c r="C10" s="7" t="n">
        <x:v>0.67</x:v>
      </x:c>
      <x:c r="D10" s="3" t="n">
        <x:v>1</x:v>
      </x:c>
      <x:c r="E10" s="3" t="str">
        <x:v>Digi-Key</x:v>
      </x:c>
      <x:c r="F10" s="3" t="str">
        <x:v>https://www.digikey.com/en/products/detail/on-shore-technology-inc/OSTTE020161/614584</x:v>
      </x:c>
      <x:c r="G10" s="3" t="str">
        <x:v>Speaker connects by wires. Verify pad pitch and terminal pin mapping.</x:v>
      </x:c>
      <x:c r="H10" s="3" t="str">
        <x:v>ED2635-ND</x:v>
      </x:c>
      <x:c r="I10" s="3" t="n">
        <x:v>6120</x:v>
      </x:c>
      <x:c r="J10" s="3" t="str">
        <x:v>2026-10-29</x:v>
      </x:c>
    </x:row>
    <x:row r="11" ht="86" customHeight="1">
      <x:c r="A11" s="3" t="str">
        <x:v>R13</x:v>
      </x:c>
      <x:c r="B11" s="3" t="str">
        <x:v>MFR-25FBF52-200K</x:v>
      </x:c>
      <x:c r="C11" s="7" t="n">
        <x:v>0.11</x:v>
      </x:c>
      <x:c r="D11" s="3" t="n">
        <x:v>1</x:v>
      </x:c>
      <x:c r="E11" s="3" t="str">
        <x:v>Digi-Key</x:v>
      </x:c>
      <x:c r="F11" s="3" t="str">
        <x:v>https://www.digikey.com/en/products/detail/yageo/MFR-25FBF52-200K/13547</x:v>
      </x:c>
      <x:c r="G11" s="3" t="str">
        <x:v>Four per supplied reference. Existing resistor footprint nominal 6.3 mm body and 10.16 mm lead spacing; check hole diameter.</x:v>
      </x:c>
      <x:c r="H11" s="3" t="str">
        <x:v>200KXBK-ND</x:v>
      </x:c>
      <x:c r="I11" s="3" t="n">
        <x:v>11522</x:v>
      </x:c>
      <x:c r="J11" s="3" t="str">
        <x:v>2026-10-29</x:v>
      </x:c>
    </x:row>
    <x:row r="12" ht="86" customHeight="1">
      <x:c r="A12" s="3" t="str">
        <x:v>RV1, RV2</x:v>
      </x:c>
      <x:c r="B12" s="3" t="str">
        <x:v>PT10LV10-103A2020-S</x:v>
      </x:c>
      <x:c r="C12" s="7" t="n">
        <x:v>0.57</x:v>
      </x:c>
      <x:c r="D12" s="3" t="n">
        <x:v>1</x:v>
      </x:c>
      <x:c r="E12" s="3" t="str">
        <x:v>Digi-Key</x:v>
      </x:c>
      <x:c r="F12" s="3" t="str">
        <x:v>https://www.digikey.com/en/products/detail/amphenol-piher-sensing-systems/PT10LV10-103A2020-S/9555954</x:v>
      </x:c>
      <x:c r="G12" s="3" t="str">
        <x:v>Top-up candidate: six total less two already owned = four. Same resistance does not prove identical pin layout to the owned pots. Select matching PT10 footprint or confirm owned-part model first.</x:v>
      </x:c>
      <x:c r="H12" s="3" t="str">
        <x:v>1993-1116-ND</x:v>
      </x:c>
      <x:c r="I12" s="3" t="n">
        <x:v>13514</x:v>
      </x:c>
      <x:c r="J12" s="3" t="str">
        <x:v>2026-10-29</x:v>
      </x:c>
    </x:row>
    <x:row r="13" ht="86" customHeight="1">
      <x:c r="A13" s="3" t="str">
        <x:v>External speaker via J5</x:v>
      </x:c>
      <x:c r="B13" s="3" t="str">
        <x:v>CMS-3652-28L200</x:v>
      </x:c>
      <x:c r="C13" s="7" t="n">
        <x:v>2.17</x:v>
      </x:c>
      <x:c r="D13" s="3" t="n">
        <x:v>1</x:v>
      </x:c>
      <x:c r="E13" s="3" t="str">
        <x:v>Digi-Key</x:v>
      </x:c>
      <x:c r="F13" s="3" t="str">
        <x:v>https://www.digikey.com/en/products/detail/same-sky-formerly-cui-devices/CMS-3652-28L200/29778294</x:v>
      </x:c>
      <x:c r="G13" s="3" t="str">
        <x:v>Three per supplied reference. Keep current amplifier design; actual loudness still requires testing.</x:v>
      </x:c>
      <x:c r="H13" s="3" t="str">
        <x:v>2223-CMS-3652-28L200-ND</x:v>
      </x:c>
      <x:c r="I13" s="3" t="n">
        <x:v>1518</x:v>
      </x:c>
      <x:c r="J13" s="3" t="str">
        <x:v>2026-10-29</x:v>
      </x:c>
    </x:row>
    <x:row r="14" ht="86" customHeight="1">
      <x:c r="A14" s="3" t="str">
        <x:v>U1 heatsink</x:v>
      </x:c>
      <x:c r="B14" s="3" t="str">
        <x:v>ATS-PCBT1085</x:v>
      </x:c>
      <x:c r="C14" s="7" t="n">
        <x:v>0.68</x:v>
      </x:c>
      <x:c r="D14" s="3" t="n">
        <x:v>1</x:v>
      </x:c>
      <x:c r="E14" s="3" t="str">
        <x:v>Digi-Key</x:v>
      </x:c>
      <x:c r="F14" s="3" t="str">
        <x:v>https://www.digikey.com/en/products/detail/advanced-thermal-solutions-inc/ATS-PCBT1085/5030505</x:v>
      </x:c>
      <x:c r="G14" s="3" t="str">
        <x:v>Two selected within reference range 2-3. Clip attachment avoids separate screws. Verify temperature with actual regulator dissipation and enclosure.</x:v>
      </x:c>
      <x:c r="H14" s="3" t="str">
        <x:v>ATS2127-ND</x:v>
      </x:c>
      <x:c r="I14" s="3" t="n">
        <x:v>3124</x:v>
      </x:c>
      <x:c r="J14" s="3" t="str">
        <x:v>2026-10-29</x:v>
      </x:c>
    </x:row>
    <x:row r="15" ht="86" customHeight="1">
      <x:c r="A15" s="3" t="str">
        <x:v>U3 socket</x:v>
      </x:c>
      <x:c r="B15" s="3" t="str">
        <x:v>ED14DT</x:v>
      </x:c>
      <x:c r="C15" s="7" t="n">
        <x:v>0.52</x:v>
      </x:c>
      <x:c r="D15" s="3" t="n">
        <x:v>1</x:v>
      </x:c>
      <x:c r="E15" s="3" t="str">
        <x:v>Digi-Key</x:v>
      </x:c>
      <x:c r="F15" s="3" t="str">
        <x:v>https://www.digikey.com/en/products/detail/on-shore-technology-inc/ED14DT/4147595</x:v>
      </x:c>
      <x:c r="G15" s="3" t="str">
        <x:v>Socket is a separate purchased part even though U3 footprint includes Socket in its name.</x:v>
      </x:c>
      <x:c r="H15" s="3" t="str">
        <x:v>ED3045-5-ND</x:v>
      </x:c>
      <x:c r="I15" s="3" t="n">
        <x:v>10251</x:v>
      </x:c>
      <x:c r="J15" s="3" t="str">
        <x:v>2026-10-29</x:v>
      </x:c>
    </x:row>
    <x:row r="16" ht="86" customHeight="1">
      <x:c r="A16" s="3" t="str">
        <x:v>J4 PCB socket</x:v>
      </x:c>
      <x:c r="B16" s="3" t="str">
        <x:v>PPPC161LFBN-RC</x:v>
      </x:c>
      <x:c r="C16" s="7" t="n">
        <x:v>0.96</x:v>
      </x:c>
      <x:c r="D16" s="3" t="n">
        <x:v>1</x:v>
      </x:c>
      <x:c r="E16" s="3" t="str">
        <x:v>Digi-Key</x:v>
      </x:c>
      <x:c r="F16" s="3" t="str">
        <x:v>https://www.digikey.com/en/products/detail/sullins-connector-solutions/PPPC161LFBN-RC/810188</x:v>
      </x:c>
      <x:c r="G16" s="3" t="str">
        <x:v>Three sockets per supplied reference. Do not use these as a substitute for the already-owned Nano headers.</x:v>
      </x:c>
      <x:c r="H16" s="3" t="str">
        <x:v>S7049-ND</x:v>
      </x:c>
      <x:c r="I16" s="3" t="n">
        <x:v>17394</x:v>
      </x:c>
      <x:c r="J16" s="3" t="str">
        <x:v>2026-10-29</x:v>
      </x:c>
    </x:row>
    <x:row r="17" ht="86" customHeight="1">
      <x:c r="A17" s="3" t="str">
        <x:v>F1 holder</x:v>
      </x:c>
      <x:c r="B17" s="3" t="str">
        <x:v>4527</x:v>
      </x:c>
      <x:c r="C17" s="7" t="n">
        <x:v>0.79</x:v>
      </x:c>
      <x:c r="D17" s="3" t="n">
        <x:v>1</x:v>
      </x:c>
      <x:c r="E17" s="3" t="str">
        <x:v>Digi-Key</x:v>
      </x:c>
      <x:c r="F17" s="3" t="str">
        <x:v>https://www.digikey.com/en/products/detail/keystone-electronics/4527/8397</x:v>
      </x:c>
      <x:c r="G17" s="3" t="str">
        <x:v>One complete holder per fuse. Select exact holder footprint from drawing; not a pair of separately counted clips.</x:v>
      </x:c>
      <x:c r="H17" s="3" t="str">
        <x:v>36-4527-ND</x:v>
      </x:c>
      <x:c r="I17" s="3" t="n">
        <x:v>30580</x:v>
      </x:c>
      <x:c r="J17" s="3" t="str">
        <x:v>2026-10-29</x:v>
      </x:c>
    </x:row>
    <x:row r="18" ht="86" customHeight="1">
      <x:c r="A18" s="3" t="str">
        <x:v>JP1, JP2 shunts</x:v>
      </x:c>
      <x:c r="B18" s="3" t="str">
        <x:v>SPC02SYAN</x:v>
      </x:c>
      <x:c r="C18" s="7" t="n">
        <x:v>0.1</x:v>
      </x:c>
      <x:c r="D18" s="3" t="n">
        <x:v>1</x:v>
      </x:c>
      <x:c r="E18" s="3" t="str">
        <x:v>Digi-Key</x:v>
      </x:c>
      <x:c r="F18" s="3" t="str">
        <x:v>https://www.digikey.com/en/products/detail/sullins-connector-solutions/SPC02SYAN/76375</x:v>
      </x:c>
      <x:c r="G18" s="3" t="str">
        <x:v>Six per supplied reference. Quantity 10 price is 0.029 each (0.29 total), cheaper than six at 0.10; retained six to follow reference quantities.</x:v>
      </x:c>
      <x:c r="H18" s="3" t="str">
        <x:v>S9001-ND</x:v>
      </x:c>
      <x:c r="I18" s="3" t="n">
        <x:v>1004697</x:v>
      </x:c>
      <x:c r="J18" s="3" t="str">
        <x:v>2026-10-29</x:v>
      </x:c>
    </x:row>
    <x:row r="19" ht="86" customHeight="1">
      <x:c r="A19" s="3" t="str">
        <x:v>Shared male header stock</x:v>
      </x:c>
      <x:c r="B19" s="3" t="str">
        <x:v>PRPC040SAAN-RC</x:v>
      </x:c>
      <x:c r="C19" s="7" t="n">
        <x:v>1.23</x:v>
      </x:c>
      <x:c r="D19" s="3" t="n">
        <x:v>1</x:v>
      </x:c>
      <x:c r="E19" s="3" t="str">
        <x:v>Digi-Key</x:v>
      </x:c>
      <x:c r="F19" s="3" t="str">
        <x:v>https://www.digikey.com/en/products/detail/sullins-connector-solutions/PRPC040SAAN-RC/2775214</x:v>
      </x:c>
      <x:c r="G19" s="3" t="str">
        <x:v>Buy three strips (120 pins). Allocate LCD male 3x16=48, J6 3x10=30, JP headers 6x2=12 and test points 14x1=14: 104 pins, 16 spare. Do not buy the same pins again by reference. Test points use permitted 1x1 pins, not loop test points.</x:v>
      </x:c>
      <x:c r="H19" s="3" t="str">
        <x:v>S1011EC-40-ND</x:v>
      </x:c>
      <x:c r="I19" s="3" t="n">
        <x:v>65849</x:v>
      </x:c>
      <x:c r="J19" s="3" t="str">
        <x:v>2026-10-29</x:v>
      </x:c>
    </x:row>
    <x:row r="20">
      <x:c r="A20" s="3"/>
      <x:c r="B20" s="3"/>
      <x:c r="C20" s="3"/>
      <x:c r="D20" s="3"/>
      <x:c r="E20" s="3"/>
      <x:c r="F20" s="3"/>
      <x:c r="G20" s="3"/>
      <x:c r="H20" s="3"/>
      <x:c r="I20" s="3"/>
      <x:c r="J20" s="3"/>
    </x:row>
    <x:row r="21">
      <x:c r="A21" s="3"/>
      <x:c r="B21" s="3"/>
      <x:c r="C21" s="3"/>
      <x:c r="D21" s="3"/>
      <x:c r="E21" s="3"/>
      <x:c r="F21" s="3"/>
      <x:c r="G21" s="3"/>
      <x:c r="H21" s="3"/>
      <x:c r="I21" s="3"/>
      <x:c r="J21" s="3"/>
    </x:row>
    <x:row r="22">
      <x:c r="A22" s="3" t="str">
        <x:v>Original 18 quotes retained: 11 current Digi-Key purchases and 7 Peralta-source alternatives. Retail references are not Peralta charges. C2/C14 price and stock checked October 29, 2026.</x:v>
      </x:c>
      <x:c r="B22" s="3"/>
      <x:c r="C22" s="3"/>
      <x:c r="D22" s="3"/>
      <x:c r="E22" s="3"/>
      <x:c r="F22" s="3"/>
      <x:c r="G22" s="3"/>
      <x:c r="H22" s="3"/>
      <x:c r="I22" s="3"/>
      <x:c r="J22" s="3"/>
    </x:row>
    <x:row r="23">
      <x:c r="A23" s="3"/>
      <x:c r="B23" s="3"/>
      <x:c r="C23" s="3"/>
      <x:c r="D23" s="3"/>
      <x:c r="E23" s="3"/>
      <x:c r="F23" s="3"/>
      <x:c r="G23" s="3"/>
      <x:c r="H23" s="3"/>
      <x:c r="I23" s="3"/>
      <x:c r="J23" s="3"/>
    </x:row>
  </x:sheetData>
  <x:mergeCells>
    <x:mergeCell ref="A22:J23"/>
  </x:mergeCells>
  <x:pageMargins left="0.7" right="0.7" top="0.75" bottom="0.75" header="0.3" footer="0.3"/>
  <x:tableParts count="1">
    <x:tablePart xmlns:r="http://schemas.openxmlformats.org/officeDocument/2006/relationships" r:id="R36183699bf55478d"/>
  </x:tableParts>
</x:worksheet>
</file>

<file path=xl/worksheets/sheet5.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29" hidden="0" customWidth="1"/>
    <x:col min="2" max="2" width="47" hidden="0" customWidth="1"/>
    <x:col min="3" max="3" width="32" hidden="0" customWidth="1"/>
    <x:col min="4" max="4" width="13" hidden="0" customWidth="1"/>
    <x:col min="5" max="5" width="12" hidden="0" customWidth="1"/>
    <x:col min="6" max="6" width="18" hidden="0" customWidth="1"/>
    <x:col min="7" max="7" width="35" hidden="0" customWidth="1"/>
    <x:col min="8" max="8" width="55" hidden="0" customWidth="1"/>
    <x:col min="9" max="9" width="20" hidden="0" customWidth="1"/>
  </x:cols>
  <x:sheetData>
    <x:row r="1" ht="36" customHeight="1">
      <x:c r="A1" s="24" t="str">
        <x:v>Single UI subsystem cost - one instance, no spares</x:v>
      </x:c>
      <x:c r="B1" s="24"/>
      <x:c r="C1" s="24"/>
      <x:c r="D1" s="24"/>
      <x:c r="E1" s="24"/>
      <x:c r="F1" s="24"/>
      <x:c r="G1" s="24"/>
      <x:c r="H1" s="24"/>
      <x:c r="I1" s="24"/>
    </x:row>
    <x:row r="2" ht="28" customHeight="1">
      <x:c r="A2" s="20" t="str">
        <x:v>Known replacement-value subtotal only. Unmarked supplied parts, Nano mating headers, the team cable and the class adapter lack recorded unit valuations. Missing values are not treated as zero. This UI subtotal does not establish compliance of the full team prototype with MF-05 ($150).</x:v>
      </x:c>
      <x:c r="B2" s="20"/>
      <x:c r="C2" s="20"/>
      <x:c r="D2" s="20"/>
      <x:c r="E2" s="20"/>
      <x:c r="F2" s="20"/>
      <x:c r="G2" s="20"/>
      <x:c r="H2" s="20"/>
      <x:c r="I2" s="20"/>
    </x:row>
    <x:row r="3" ht="28" customHeight="1">
      <x:c r="A3" s="20"/>
      <x:c r="B3" s="20"/>
      <x:c r="C3" s="20"/>
      <x:c r="D3" s="20"/>
      <x:c r="E3" s="20"/>
      <x:c r="F3" s="20"/>
      <x:c r="G3" s="20"/>
      <x:c r="H3" s="20"/>
      <x:c r="I3" s="20"/>
    </x:row>
    <x:row r="4">
      <x:c r="A4" s="20"/>
      <x:c r="B4" s="20"/>
      <x:c r="C4" s="20"/>
      <x:c r="D4" s="20"/>
      <x:c r="E4" s="20"/>
      <x:c r="F4" s="20"/>
      <x:c r="G4" s="20"/>
      <x:c r="H4" s="20"/>
      <x:c r="I4" s="20"/>
    </x:row>
    <x:row r="5" ht="30" customHeight="1">
      <x:c r="A5" s="20" t="str">
        <x:v>Known priced subtotal (USD)</x:v>
      </x:c>
      <x:c r="B5" s="26" t="n">
        <x:f>SUM(I9:I53)</x:f>
        <x:v>27.55</x:v>
      </x:c>
      <x:c r="C5" s="20"/>
      <x:c r="D5" s="20" t="str">
        <x:v>Rows without valuation</x:v>
      </x:c>
      <x:c r="E5" s="20"/>
      <x:c r="F5" s="20" t="n">
        <x:f>COUNTIF(I9:I53,"Not recorded")</x:f>
        <x:v>30</x:v>
      </x:c>
      <x:c r="G5" s="20"/>
      <x:c r="H5" s="20"/>
      <x:c r="I5" s="20"/>
    </x:row>
    <x:row r="6" ht="30" customHeight="1">
      <x:c r="A6" s="20" t="str">
        <x:v>Full one-unit BOM value</x:v>
      </x:c>
      <x:c r="B6" s="27" t="str">
        <x:f>IF(F5=0,B5,"Not fully valued")</x:f>
        <x:v>Not fully valued</x:v>
      </x:c>
      <x:c r="C6" s="20"/>
      <x:c r="D6" s="20"/>
      <x:c r="E6" s="20"/>
      <x:c r="F6" s="20"/>
      <x:c r="G6" s="20"/>
      <x:c r="H6" s="20"/>
      <x:c r="I6" s="20"/>
    </x:row>
    <x:row r="7">
      <x:c r="A7" s="20"/>
      <x:c r="B7" s="20"/>
      <x:c r="C7" s="20"/>
      <x:c r="D7" s="20"/>
      <x:c r="E7" s="20"/>
      <x:c r="F7" s="20"/>
      <x:c r="G7" s="20"/>
      <x:c r="H7" s="20"/>
      <x:c r="I7" s="20"/>
    </x:row>
    <x:row r="8" ht="36" customHeight="1">
      <x:c r="A8" s="25" t="str">
        <x:v>Refs</x:v>
      </x:c>
      <x:c r="B8" s="25" t="str">
        <x:v>Description</x:v>
      </x:c>
      <x:c r="C8" s="25" t="str">
        <x:v>Source</x:v>
      </x:c>
      <x:c r="D8" s="25" t="str">
        <x:v>Qty / system</x:v>
      </x:c>
      <x:c r="E8" s="25" t="str">
        <x:v>Unit</x:v>
      </x:c>
      <x:c r="F8" s="25" t="str">
        <x:v>Unit price USD</x:v>
      </x:c>
      <x:c r="G8" s="25" t="str">
        <x:v>Valuation basis</x:v>
      </x:c>
      <x:c r="H8" s="25" t="str">
        <x:v>Notes</x:v>
      </x:c>
      <x:c r="I8" s="25" t="str">
        <x:v>Line value USD</x:v>
      </x:c>
    </x:row>
    <x:row r="9" ht="64" customHeight="1">
      <x:c r="A9" s="20" t="str">
        <x:v>C2</x:v>
      </x:c>
      <x:c r="B9" s="20" t="str">
        <x:v>Nonpolar capacitor, 0.33uF 50V</x:v>
      </x:c>
      <x:c r="C9" s="20" t="str">
        <x:v>Digi-Key</x:v>
      </x:c>
      <x:c r="D9" s="20" t="n">
        <x:v>1</x:v>
      </x:c>
      <x:c r="E9" s="20" t="str">
        <x:v>piece</x:v>
      </x:c>
      <x:c r="F9" s="22" t="n">
        <x:v>0.37</x:v>
      </x:c>
      <x:c r="G9" s="20" t="str">
        <x:v>Selected active part quote</x:v>
      </x:c>
      <x:c r="H9" s="20" t="str">
        <x:v>Purchased rather than assuming unconfirmed Peralta stock</x:v>
      </x:c>
      <x:c r="I9" s="21" t="n">
        <x:f>IF(D9=0,0,IF(ISNUMBER(F9),D9*F9,"Not recorded"))</x:f>
        <x:v>0.37</x:v>
      </x:c>
    </x:row>
    <x:row r="10" ht="64" customHeight="1">
      <x:c r="A10" s="20" t="str">
        <x:v>C3</x:v>
      </x:c>
      <x:c r="B10" s="20" t="str">
        <x:v>Nonpolar capacitor, 0.1uF 50V</x:v>
      </x:c>
      <x:c r="C10" s="20" t="str">
        <x:v>Provided kit</x:v>
      </x:c>
      <x:c r="D10" s="20" t="n">
        <x:v>1</x:v>
      </x:c>
      <x:c r="E10" s="20" t="str">
        <x:v>piece</x:v>
      </x:c>
      <x:c r="F10" s="22"/>
      <x:c r="G10" s="20" t="str">
        <x:v>Unit value not recorded</x:v>
      </x:c>
      <x:c r="H10" s="20" t="str">
        <x:v>Not assumed to have zero replacement value</x:v>
      </x:c>
      <x:c r="I10" s="21" t="str">
        <x:f>IF(D10=0,0,IF(ISNUMBER(F10),D10*F10,"Not recorded"))</x:f>
        <x:v>Not recorded</x:v>
      </x:c>
    </x:row>
    <x:row r="11" ht="64" customHeight="1">
      <x:c r="A11" s="20" t="str">
        <x:v>C5, C8, C16, C17, C18, C19</x:v>
      </x:c>
      <x:c r="B11" s="20" t="str">
        <x:v>Nonpolar capacitor, 0.1uF 16V</x:v>
      </x:c>
      <x:c r="C11" s="20" t="str">
        <x:v>Provided kit</x:v>
      </x:c>
      <x:c r="D11" s="20" t="n">
        <x:v>6</x:v>
      </x:c>
      <x:c r="E11" s="20" t="str">
        <x:v>piece</x:v>
      </x:c>
      <x:c r="F11" s="22"/>
      <x:c r="G11" s="20" t="str">
        <x:v>Unit value not recorded</x:v>
      </x:c>
      <x:c r="H11" s="20" t="str">
        <x:v>Not assumed to have zero replacement value</x:v>
      </x:c>
      <x:c r="I11" s="21" t="str">
        <x:f>IF(D11=0,0,IF(ISNUMBER(F11),D11*F11,"Not recorded"))</x:f>
        <x:v>Not recorded</x:v>
      </x:c>
    </x:row>
    <x:row r="12" ht="64" customHeight="1">
      <x:c r="A12" s="20" t="str">
        <x:v>C9</x:v>
      </x:c>
      <x:c r="B12" s="20" t="str">
        <x:v>Nonpolar ceramic capacitor, 1 uF 50 V (16 V minimum)</x:v>
      </x:c>
      <x:c r="C12" s="20" t="str">
        <x:v>Digi-Key</x:v>
      </x:c>
      <x:c r="D12" s="20" t="n">
        <x:v>1</x:v>
      </x:c>
      <x:c r="E12" s="20" t="str">
        <x:v>piece</x:v>
      </x:c>
      <x:c r="F12" s="22" t="n">
        <x:v>0.31</x:v>
      </x:c>
      <x:c r="G12" s="20" t="str">
        <x:v>Quoted replacement part</x:v>
      </x:c>
      <x:c r="H12" s="20" t="str">
        <x:v>No spare quantity included</x:v>
      </x:c>
      <x:c r="I12" s="21" t="n">
        <x:f>IF(D12=0,0,IF(ISNUMBER(F12),D12*F12,"Not recorded"))</x:f>
        <x:v>0.31</x:v>
      </x:c>
    </x:row>
    <x:row r="13" ht="64" customHeight="1">
      <x:c r="A13" s="20" t="str">
        <x:v>C14</x:v>
      </x:c>
      <x:c r="B13" s="20" t="str">
        <x:v>Electrolytic capacitor, 220 uF, 16 V</x:v>
      </x:c>
      <x:c r="C13" s="20" t="str">
        <x:v>Digi-Key</x:v>
      </x:c>
      <x:c r="D13" s="20" t="n">
        <x:v>1</x:v>
      </x:c>
      <x:c r="E13" s="20" t="str">
        <x:v>piece</x:v>
      </x:c>
      <x:c r="F13" s="22" t="n">
        <x:v>0.45</x:v>
      </x:c>
      <x:c r="G13" s="20" t="str">
        <x:v>Selected active part quote</x:v>
      </x:c>
      <x:c r="H13" s="20" t="str">
        <x:v>Purchased rather than assuming unconfirmed Peralta stock</x:v>
      </x:c>
      <x:c r="I13" s="21" t="n">
        <x:f>IF(D13=0,0,IF(ISNUMBER(F13),D13*F13,"Not recorded"))</x:f>
        <x:v>0.45</x:v>
      </x:c>
    </x:row>
    <x:row r="14" ht="64" customHeight="1">
      <x:c r="A14" s="20" t="str">
        <x:v>C15</x:v>
      </x:c>
      <x:c r="B14" s="20" t="str">
        <x:v>Nonpolar capacitor, 0.1uF 16V(LCD VDD)</x:v>
      </x:c>
      <x:c r="C14" s="20" t="str">
        <x:v>Provided kit</x:v>
      </x:c>
      <x:c r="D14" s="20" t="n">
        <x:v>1</x:v>
      </x:c>
      <x:c r="E14" s="20" t="str">
        <x:v>piece</x:v>
      </x:c>
      <x:c r="F14" s="22"/>
      <x:c r="G14" s="20" t="str">
        <x:v>Unit value not recorded</x:v>
      </x:c>
      <x:c r="H14" s="20" t="str">
        <x:v>Not assumed to have zero replacement value</x:v>
      </x:c>
      <x:c r="I14" s="21" t="str">
        <x:f>IF(D14=0,0,IF(ISNUMBER(F14),D14*F14,"Not recorded"))</x:f>
        <x:v>Not recorded</x:v>
      </x:c>
    </x:row>
    <x:row r="15" ht="64" customHeight="1">
      <x:c r="A15" s="20" t="str">
        <x:v>D1</x:v>
      </x:c>
      <x:c r="B15" s="20" t="str">
        <x:v>GreenLED（Power)</x:v>
      </x:c>
      <x:c r="C15" s="20" t="str">
        <x:v>Provided kit</x:v>
      </x:c>
      <x:c r="D15" s="20" t="n">
        <x:v>1</x:v>
      </x:c>
      <x:c r="E15" s="20" t="str">
        <x:v>piece</x:v>
      </x:c>
      <x:c r="F15" s="22"/>
      <x:c r="G15" s="20" t="str">
        <x:v>Unit value not recorded</x:v>
      </x:c>
      <x:c r="H15" s="20" t="str">
        <x:v>Not assumed to have zero replacement value</x:v>
      </x:c>
      <x:c r="I15" s="21" t="str">
        <x:f>IF(D15=0,0,IF(ISNUMBER(F15),D15*F15,"Not recorded"))</x:f>
        <x:v>Not recorded</x:v>
      </x:c>
    </x:row>
    <x:row r="16" ht="64" customHeight="1">
      <x:c r="A16" s="20" t="str">
        <x:v>D2</x:v>
      </x:c>
      <x:c r="B16" s="20" t="str">
        <x:v>Red LED(debug)</x:v>
      </x:c>
      <x:c r="C16" s="20" t="str">
        <x:v>Provided kit</x:v>
      </x:c>
      <x:c r="D16" s="20" t="n">
        <x:v>1</x:v>
      </x:c>
      <x:c r="E16" s="20" t="str">
        <x:v>piece</x:v>
      </x:c>
      <x:c r="F16" s="22"/>
      <x:c r="G16" s="20" t="str">
        <x:v>Unit value not recorded</x:v>
      </x:c>
      <x:c r="H16" s="20" t="str">
        <x:v>Not assumed to have zero replacement value</x:v>
      </x:c>
      <x:c r="I16" s="21" t="str">
        <x:f>IF(D16=0,0,IF(ISNUMBER(F16),D16*F16,"Not recorded"))</x:f>
        <x:v>Not recorded</x:v>
      </x:c>
    </x:row>
    <x:row r="17" ht="64" customHeight="1">
      <x:c r="A17" s="20" t="str">
        <x:v>D3</x:v>
      </x:c>
      <x:c r="B17" s="20" t="str">
        <x:v>Schottky diode, reverse-polarity protection</x:v>
      </x:c>
      <x:c r="C17" s="20" t="str">
        <x:v>Digi-Key</x:v>
      </x:c>
      <x:c r="D17" s="20" t="n">
        <x:v>1</x:v>
      </x:c>
      <x:c r="E17" s="20" t="str">
        <x:v>piece</x:v>
      </x:c>
      <x:c r="F17" s="22" t="n">
        <x:v>0.71</x:v>
      </x:c>
      <x:c r="G17" s="20" t="str">
        <x:v>Quoted replacement part</x:v>
      </x:c>
      <x:c r="H17" s="20" t="str">
        <x:v>No spare quantity included</x:v>
      </x:c>
      <x:c r="I17" s="21" t="n">
        <x:f>IF(D17=0,0,IF(ISNUMBER(F17),D17*F17,"Not recorded"))</x:f>
        <x:v>0.71</x:v>
      </x:c>
    </x:row>
    <x:row r="18" ht="64" customHeight="1">
      <x:c r="A18" s="20" t="str">
        <x:v>F1</x:v>
      </x:c>
      <x:c r="B18" s="20" t="str">
        <x:v>1.5 A 5x20mm</x:v>
      </x:c>
      <x:c r="C18" s="20" t="str">
        <x:v>Peralta / PRLTA</x:v>
      </x:c>
      <x:c r="D18" s="20" t="n">
        <x:v>1</x:v>
      </x:c>
      <x:c r="E18" s="20" t="str">
        <x:v>piece</x:v>
      </x:c>
      <x:c r="F18" s="22"/>
      <x:c r="G18" s="20" t="str">
        <x:v>Actual stock price not recorded</x:v>
      </x:c>
      <x:c r="H18" s="20" t="str">
        <x:v>Former Digi-Key candidate price is not treated as the issued-part price</x:v>
      </x:c>
      <x:c r="I18" s="21" t="str">
        <x:f>IF(D18=0,0,IF(ISNUMBER(F18),D18*F18,"Not recorded"))</x:f>
        <x:v>Not recorded</x:v>
      </x:c>
    </x:row>
    <x:row r="19" ht="64" customHeight="1">
      <x:c r="A19" s="20" t="str">
        <x:v>J1</x:v>
      </x:c>
      <x:c r="B19" s="20" t="str">
        <x:v>Shrouded ribbon header, 2 x 4</x:v>
      </x:c>
      <x:c r="C19" s="20" t="str">
        <x:v>Digi-Key</x:v>
      </x:c>
      <x:c r="D19" s="20" t="n">
        <x:v>1</x:v>
      </x:c>
      <x:c r="E19" s="20" t="str">
        <x:v>piece</x:v>
      </x:c>
      <x:c r="F19" s="22" t="n">
        <x:v>1.03</x:v>
      </x:c>
      <x:c r="G19" s="20" t="str">
        <x:v>Quoted replacement part</x:v>
      </x:c>
      <x:c r="H19" s="20" t="str">
        <x:v>No spare quantity included</x:v>
      </x:c>
      <x:c r="I19" s="21" t="n">
        <x:f>IF(D19=0,0,IF(ISNUMBER(F19),D19*F19,"Not recorded"))</x:f>
        <x:v>1.03</x:v>
      </x:c>
    </x:row>
    <x:row r="20" ht="64" customHeight="1">
      <x:c r="A20" s="20" t="str">
        <x:v>J3</x:v>
      </x:c>
      <x:c r="B20" s="20" t="str">
        <x:v>DC barrel jack</x:v>
      </x:c>
      <x:c r="C20" s="20" t="str">
        <x:v>Peralta / PRLTA</x:v>
      </x:c>
      <x:c r="D20" s="20" t="n">
        <x:v>1</x:v>
      </x:c>
      <x:c r="E20" s="20" t="str">
        <x:v>piece</x:v>
      </x:c>
      <x:c r="F20" s="22"/>
      <x:c r="G20" s="20" t="str">
        <x:v>Actual stock price not recorded</x:v>
      </x:c>
      <x:c r="H20" s="20" t="str">
        <x:v>Former Digi-Key candidate price is not treated as the issued-part price</x:v>
      </x:c>
      <x:c r="I20" s="21" t="str">
        <x:f>IF(D20=0,0,IF(ISNUMBER(F20),D20*F20,"Not recorded"))</x:f>
        <x:v>Not recorded</x:v>
      </x:c>
    </x:row>
    <x:row r="21" ht="64" customHeight="1">
      <x:c r="A21" s="20" t="str">
        <x:v>J4</x:v>
      </x:c>
      <x:c r="B21" s="20" t="str">
        <x:v>16 x 2 character LCD module</x:v>
      </x:c>
      <x:c r="C21" s="20" t="str">
        <x:v>Digi-Key</x:v>
      </x:c>
      <x:c r="D21" s="20" t="n">
        <x:v>1</x:v>
      </x:c>
      <x:c r="E21" s="20" t="str">
        <x:v>piece</x:v>
      </x:c>
      <x:c r="F21" s="22" t="n">
        <x:v>8.11</x:v>
      </x:c>
      <x:c r="G21" s="20" t="str">
        <x:v>Quoted replacement part</x:v>
      </x:c>
      <x:c r="H21" s="20" t="str">
        <x:v>No spare quantity included</x:v>
      </x:c>
      <x:c r="I21" s="21" t="n">
        <x:f>IF(D21=0,0,IF(ISNUMBER(F21),D21*F21,"Not recorded"))</x:f>
        <x:v>8.11</x:v>
      </x:c>
    </x:row>
    <x:row r="22" ht="64" customHeight="1">
      <x:c r="A22" s="20" t="str">
        <x:v>J5</x:v>
      </x:c>
      <x:c r="B22" s="20" t="str">
        <x:v>Speaker screw terminal, 2 positions</x:v>
      </x:c>
      <x:c r="C22" s="20" t="str">
        <x:v>Digi-Key</x:v>
      </x:c>
      <x:c r="D22" s="20" t="n">
        <x:v>1</x:v>
      </x:c>
      <x:c r="E22" s="20" t="str">
        <x:v>piece</x:v>
      </x:c>
      <x:c r="F22" s="22" t="n">
        <x:v>0.67</x:v>
      </x:c>
      <x:c r="G22" s="20" t="str">
        <x:v>Quoted replacement part</x:v>
      </x:c>
      <x:c r="H22" s="20" t="str">
        <x:v>No spare quantity included</x:v>
      </x:c>
      <x:c r="I22" s="21" t="n">
        <x:f>IF(D22=0,0,IF(ISNUMBER(F22),D22*F22,"Not recorded"))</x:f>
        <x:v>0.67</x:v>
      </x:c>
    </x:row>
    <x:row r="23" ht="64" customHeight="1">
      <x:c r="A23" s="20" t="str">
        <x:v>J6</x:v>
      </x:c>
      <x:c r="B23" s="20" t="str">
        <x:v>Spare GPIO header1x10, 2.54 mm</x:v>
      </x:c>
      <x:c r="C23" s="20" t="str">
        <x:v>Peralta / PRLTA</x:v>
      </x:c>
      <x:c r="D23" s="20" t="n">
        <x:v>10</x:v>
      </x:c>
      <x:c r="E23" s="20" t="str">
        <x:v>pin</x:v>
      </x:c>
      <x:c r="F23" s="22"/>
      <x:c r="G23" s="20" t="str">
        <x:v>Issued strip price not recorded</x:v>
      </x:c>
      <x:c r="H23" s="20" t="str">
        <x:v>No spare quantity included</x:v>
      </x:c>
      <x:c r="I23" s="21" t="str">
        <x:f>IF(D23=0,0,IF(ISNUMBER(F23),D23*F23,"Not recorded"))</x:f>
        <x:v>Not recorded</x:v>
      </x:c>
    </x:row>
    <x:row r="24" ht="64" customHeight="1">
      <x:c r="A24" s="20" t="str">
        <x:v>JP1</x:v>
      </x:c>
      <x:c r="B24" s="20" t="str">
        <x:v>Two-pin jumper header, +5V-VTG</x:v>
      </x:c>
      <x:c r="C24" s="20" t="str">
        <x:v>Peralta / PRLTA</x:v>
      </x:c>
      <x:c r="D24" s="20" t="n">
        <x:v>2</x:v>
      </x:c>
      <x:c r="E24" s="20" t="str">
        <x:v>pin</x:v>
      </x:c>
      <x:c r="F24" s="22"/>
      <x:c r="G24" s="20" t="str">
        <x:v>Issued strip price not recorded</x:v>
      </x:c>
      <x:c r="H24" s="20" t="str">
        <x:v>No spare quantity included</x:v>
      </x:c>
      <x:c r="I24" s="21" t="str">
        <x:f>IF(D24=0,0,IF(ISNUMBER(F24),D24*F24,"Not recorded"))</x:f>
        <x:v>Not recorded</x:v>
      </x:c>
    </x:row>
    <x:row r="25" ht="64" customHeight="1">
      <x:c r="A25" s="20" t="str">
        <x:v>JP2</x:v>
      </x:c>
      <x:c r="B25" s="20" t="str">
        <x:v>Two-pin jumper header, VOFF-GND</x:v>
      </x:c>
      <x:c r="C25" s="20" t="str">
        <x:v>Peralta / PRLTA</x:v>
      </x:c>
      <x:c r="D25" s="20" t="n">
        <x:v>2</x:v>
      </x:c>
      <x:c r="E25" s="20" t="str">
        <x:v>pin</x:v>
      </x:c>
      <x:c r="F25" s="22"/>
      <x:c r="G25" s="20" t="str">
        <x:v>Issued strip price not recorded</x:v>
      </x:c>
      <x:c r="H25" s="20" t="str">
        <x:v>No spare quantity included</x:v>
      </x:c>
      <x:c r="I25" s="21" t="str">
        <x:f>IF(D25=0,0,IF(ISNUMBER(F25),D25*F25,"Not recorded"))</x:f>
        <x:v>Not recorded</x:v>
      </x:c>
    </x:row>
    <x:row r="26" ht="64" customHeight="1">
      <x:c r="A26" s="20" t="str">
        <x:v>R1, R11</x:v>
      </x:c>
      <x:c r="B26" s="20" t="str">
        <x:v>Resistor, 1k 1/4W</x:v>
      </x:c>
      <x:c r="C26" s="20" t="str">
        <x:v>Provided kit</x:v>
      </x:c>
      <x:c r="D26" s="20" t="n">
        <x:v>2</x:v>
      </x:c>
      <x:c r="E26" s="20" t="str">
        <x:v>piece</x:v>
      </x:c>
      <x:c r="F26" s="22"/>
      <x:c r="G26" s="20" t="str">
        <x:v>Unit value not recorded</x:v>
      </x:c>
      <x:c r="H26" s="20" t="str">
        <x:v>Not assumed to have zero replacement value</x:v>
      </x:c>
      <x:c r="I26" s="21" t="str">
        <x:f>IF(D26=0,0,IF(ISNUMBER(F26),D26*F26,"Not recorded"))</x:f>
        <x:v>Not recorded</x:v>
      </x:c>
    </x:row>
    <x:row r="27" ht="64" customHeight="1">
      <x:c r="A27" s="20" t="str">
        <x:v>R5</x:v>
      </x:c>
      <x:c r="B27" s="20" t="str">
        <x:v>Resistor, 100k 1/4W</x:v>
      </x:c>
      <x:c r="C27" s="20" t="str">
        <x:v>Provided kit</x:v>
      </x:c>
      <x:c r="D27" s="20" t="n">
        <x:v>1</x:v>
      </x:c>
      <x:c r="E27" s="20" t="str">
        <x:v>piece</x:v>
      </x:c>
      <x:c r="F27" s="22"/>
      <x:c r="G27" s="20" t="str">
        <x:v>Unit value not recorded</x:v>
      </x:c>
      <x:c r="H27" s="20" t="str">
        <x:v>Not assumed to have zero replacement value</x:v>
      </x:c>
      <x:c r="I27" s="21" t="str">
        <x:f>IF(D27=0,0,IF(ISNUMBER(F27),D27*F27,"Not recorded"))</x:f>
        <x:v>Not recorded</x:v>
      </x:c>
    </x:row>
    <x:row r="28" ht="64" customHeight="1">
      <x:c r="A28" s="20" t="str">
        <x:v>R7, R8, R9, R10</x:v>
      </x:c>
      <x:c r="B28" s="20" t="str">
        <x:v>Resistor, 10k 1/4W</x:v>
      </x:c>
      <x:c r="C28" s="20" t="str">
        <x:v>Provided kit</x:v>
      </x:c>
      <x:c r="D28" s="20" t="n">
        <x:v>4</x:v>
      </x:c>
      <x:c r="E28" s="20" t="str">
        <x:v>piece</x:v>
      </x:c>
      <x:c r="F28" s="22"/>
      <x:c r="G28" s="20" t="str">
        <x:v>Unit value not recorded</x:v>
      </x:c>
      <x:c r="H28" s="20" t="str">
        <x:v>Not assumed to have zero replacement value</x:v>
      </x:c>
      <x:c r="I28" s="21" t="str">
        <x:f>IF(D28=0,0,IF(ISNUMBER(F28),D28*F28,"Not recorded"))</x:f>
        <x:v>Not recorded</x:v>
      </x:c>
    </x:row>
    <x:row r="29" ht="64" customHeight="1">
      <x:c r="A29" s="20" t="str">
        <x:v>R12</x:v>
      </x:c>
      <x:c r="B29" s="20" t="str">
        <x:v>Resistor, 330 1/4W</x:v>
      </x:c>
      <x:c r="C29" s="20" t="str">
        <x:v>Provided kit</x:v>
      </x:c>
      <x:c r="D29" s="20" t="n">
        <x:v>1</x:v>
      </x:c>
      <x:c r="E29" s="20" t="str">
        <x:v>piece</x:v>
      </x:c>
      <x:c r="F29" s="22"/>
      <x:c r="G29" s="20" t="str">
        <x:v>Unit value not recorded</x:v>
      </x:c>
      <x:c r="H29" s="20" t="str">
        <x:v>Not assumed to have zero replacement value</x:v>
      </x:c>
      <x:c r="I29" s="21" t="str">
        <x:f>IF(D29=0,0,IF(ISNUMBER(F29),D29*F29,"Not recorded"))</x:f>
        <x:v>Not recorded</x:v>
      </x:c>
    </x:row>
    <x:row r="30" ht="64" customHeight="1">
      <x:c r="A30" s="20" t="str">
        <x:v>R13</x:v>
      </x:c>
      <x:c r="B30" s="20" t="str">
        <x:v>Resistor, 200k</x:v>
      </x:c>
      <x:c r="C30" s="20" t="str">
        <x:v>Digi-Key</x:v>
      </x:c>
      <x:c r="D30" s="20" t="n">
        <x:v>1</x:v>
      </x:c>
      <x:c r="E30" s="20" t="str">
        <x:v>piece</x:v>
      </x:c>
      <x:c r="F30" s="22" t="n">
        <x:v>0.11</x:v>
      </x:c>
      <x:c r="G30" s="20" t="str">
        <x:v>Quoted replacement part</x:v>
      </x:c>
      <x:c r="H30" s="20" t="str">
        <x:v>No spare quantity included</x:v>
      </x:c>
      <x:c r="I30" s="21" t="n">
        <x:f>IF(D30=0,0,IF(ISNUMBER(F30),D30*F30,"Not recorded"))</x:f>
        <x:v>0.11</x:v>
      </x:c>
    </x:row>
    <x:row r="31" ht="64" customHeight="1">
      <x:c r="A31" s="20" t="str">
        <x:v>R14, R15</x:v>
      </x:c>
      <x:c r="B31" s="20" t="str">
        <x:v>Resistor, 10k</x:v>
      </x:c>
      <x:c r="C31" s="20" t="str">
        <x:v>Provided kit</x:v>
      </x:c>
      <x:c r="D31" s="20" t="n">
        <x:v>2</x:v>
      </x:c>
      <x:c r="E31" s="20" t="str">
        <x:v>piece</x:v>
      </x:c>
      <x:c r="F31" s="22"/>
      <x:c r="G31" s="20" t="str">
        <x:v>Unit value not recorded</x:v>
      </x:c>
      <x:c r="H31" s="20" t="str">
        <x:v>Not assumed to have zero replacement value</x:v>
      </x:c>
      <x:c r="I31" s="21" t="str">
        <x:f>IF(D31=0,0,IF(ISNUMBER(F31),D31*F31,"Not recorded"))</x:f>
        <x:v>Not recorded</x:v>
      </x:c>
    </x:row>
    <x:row r="32" ht="64" customHeight="1">
      <x:c r="A32" s="20" t="str">
        <x:v>R16</x:v>
      </x:c>
      <x:c r="B32" s="20" t="str">
        <x:v>Resistor, 330R / 0.25w</x:v>
      </x:c>
      <x:c r="C32" s="20" t="str">
        <x:v>Provided kit</x:v>
      </x:c>
      <x:c r="D32" s="20" t="n">
        <x:v>1</x:v>
      </x:c>
      <x:c r="E32" s="20" t="str">
        <x:v>piece</x:v>
      </x:c>
      <x:c r="F32" s="22"/>
      <x:c r="G32" s="20" t="str">
        <x:v>Unit value not recorded</x:v>
      </x:c>
      <x:c r="H32" s="20" t="str">
        <x:v>Not assumed to have zero replacement value</x:v>
      </x:c>
      <x:c r="I32" s="21" t="str">
        <x:f>IF(D32=0,0,IF(ISNUMBER(F32),D32*F32,"Not recorded"))</x:f>
        <x:v>Not recorded</x:v>
      </x:c>
    </x:row>
    <x:row r="33" ht="64" customHeight="1">
      <x:c r="A33" s="20" t="str">
        <x:v>RV1, RV2</x:v>
      </x:c>
      <x:c r="B33" s="20" t="str">
        <x:v>10 kohm potentiometer / trimmer, LCD contrast and volume</x:v>
      </x:c>
      <x:c r="C33" s="20" t="str">
        <x:v>Peralta / PRLTA</x:v>
      </x:c>
      <x:c r="D33" s="20" t="n">
        <x:v>2</x:v>
      </x:c>
      <x:c r="E33" s="20" t="str">
        <x:v>piece</x:v>
      </x:c>
      <x:c r="F33" s="22"/>
      <x:c r="G33" s="20" t="str">
        <x:v>Actual stock price not recorded</x:v>
      </x:c>
      <x:c r="H33" s="20" t="str">
        <x:v>Former Digi-Key candidate price is not treated as the issued-part price</x:v>
      </x:c>
      <x:c r="I33" s="21" t="str">
        <x:f>IF(D33=0,0,IF(ISNUMBER(F33),D33*F33,"Not recorded"))</x:f>
        <x:v>Not recorded</x:v>
      </x:c>
    </x:row>
    <x:row r="34" ht="64" customHeight="1">
      <x:c r="A34" s="20" t="str">
        <x:v>SW1</x:v>
      </x:c>
      <x:c r="B34" s="20" t="str">
        <x:v>Momentary pushbutton, START/STOP</x:v>
      </x:c>
      <x:c r="C34" s="20" t="str">
        <x:v>Provided kit</x:v>
      </x:c>
      <x:c r="D34" s="20" t="n">
        <x:v>1</x:v>
      </x:c>
      <x:c r="E34" s="20" t="str">
        <x:v>piece</x:v>
      </x:c>
      <x:c r="F34" s="22"/>
      <x:c r="G34" s="20" t="str">
        <x:v>Unit value not recorded</x:v>
      </x:c>
      <x:c r="H34" s="20" t="str">
        <x:v>Not assumed to have zero replacement value</x:v>
      </x:c>
      <x:c r="I34" s="21" t="str">
        <x:f>IF(D34=0,0,IF(ISNUMBER(F34),D34*F34,"Not recorded"))</x:f>
        <x:v>Not recorded</x:v>
      </x:c>
    </x:row>
    <x:row r="35" ht="64" customHeight="1">
      <x:c r="A35" s="20" t="str">
        <x:v>SW2</x:v>
      </x:c>
      <x:c r="B35" s="20" t="str">
        <x:v>Momentary pushbutton, UP</x:v>
      </x:c>
      <x:c r="C35" s="20" t="str">
        <x:v>Provided kit</x:v>
      </x:c>
      <x:c r="D35" s="20" t="n">
        <x:v>1</x:v>
      </x:c>
      <x:c r="E35" s="20" t="str">
        <x:v>piece</x:v>
      </x:c>
      <x:c r="F35" s="22"/>
      <x:c r="G35" s="20" t="str">
        <x:v>Unit value not recorded</x:v>
      </x:c>
      <x:c r="H35" s="20" t="str">
        <x:v>Not assumed to have zero replacement value</x:v>
      </x:c>
      <x:c r="I35" s="21" t="str">
        <x:f>IF(D35=0,0,IF(ISNUMBER(F35),D35*F35,"Not recorded"))</x:f>
        <x:v>Not recorded</x:v>
      </x:c>
    </x:row>
    <x:row r="36" ht="64" customHeight="1">
      <x:c r="A36" s="20" t="str">
        <x:v>SW3</x:v>
      </x:c>
      <x:c r="B36" s="20" t="str">
        <x:v>Momentary pushbutton, DOWN</x:v>
      </x:c>
      <x:c r="C36" s="20" t="str">
        <x:v>Provided kit</x:v>
      </x:c>
      <x:c r="D36" s="20" t="n">
        <x:v>1</x:v>
      </x:c>
      <x:c r="E36" s="20" t="str">
        <x:v>piece</x:v>
      </x:c>
      <x:c r="F36" s="22"/>
      <x:c r="G36" s="20" t="str">
        <x:v>Unit value not recorded</x:v>
      </x:c>
      <x:c r="H36" s="20" t="str">
        <x:v>Not assumed to have zero replacement value</x:v>
      </x:c>
      <x:c r="I36" s="21" t="str">
        <x:f>IF(D36=0,0,IF(ISNUMBER(F36),D36*F36,"Not recorded"))</x:f>
        <x:v>Not recorded</x:v>
      </x:c>
    </x:row>
    <x:row r="37" ht="64" customHeight="1">
      <x:c r="A37" s="20" t="str">
        <x:v>SW4</x:v>
      </x:c>
      <x:c r="B37" s="20" t="str">
        <x:v>Momentary pushbutton, DEBUG</x:v>
      </x:c>
      <x:c r="C37" s="20" t="str">
        <x:v>Provided kit</x:v>
      </x:c>
      <x:c r="D37" s="20" t="n">
        <x:v>1</x:v>
      </x:c>
      <x:c r="E37" s="20" t="str">
        <x:v>piece</x:v>
      </x:c>
      <x:c r="F37" s="22"/>
      <x:c r="G37" s="20" t="str">
        <x:v>Unit value not recorded</x:v>
      </x:c>
      <x:c r="H37" s="20" t="str">
        <x:v>Not assumed to have zero replacement value</x:v>
      </x:c>
      <x:c r="I37" s="21" t="str">
        <x:f>IF(D37=0,0,IF(ISNUMBER(F37),D37*F37,"Not recorded"))</x:f>
        <x:v>Not recorded</x:v>
      </x:c>
    </x:row>
    <x:row r="38" ht="64" customHeight="1">
      <x:c r="A38" s="20" t="str">
        <x:v>TP1</x:v>
      </x:c>
      <x:c r="B38" s="20" t="str">
        <x:v>Test point</x:v>
      </x:c>
      <x:c r="C38" s="20" t="str">
        <x:v>Peralta / PRLTA</x:v>
      </x:c>
      <x:c r="D38" s="20" t="n">
        <x:v>1</x:v>
      </x:c>
      <x:c r="E38" s="20" t="str">
        <x:v>pin</x:v>
      </x:c>
      <x:c r="F38" s="22"/>
      <x:c r="G38" s="20" t="str">
        <x:v>Issued strip price not recorded</x:v>
      </x:c>
      <x:c r="H38" s="20" t="str">
        <x:v>No spare quantity included</x:v>
      </x:c>
      <x:c r="I38" s="21" t="str">
        <x:f>IF(D38=0,0,IF(ISNUMBER(F38),D38*F38,"Not recorded"))</x:f>
        <x:v>Not recorded</x:v>
      </x:c>
    </x:row>
    <x:row r="39" ht="64" customHeight="1">
      <x:c r="A39" s="20" t="str">
        <x:v>TP2, TP3, TP4, TP5, TP6</x:v>
      </x:c>
      <x:c r="B39" s="20" t="str">
        <x:v>Test point</x:v>
      </x:c>
      <x:c r="C39" s="20" t="str">
        <x:v>Peralta / PRLTA</x:v>
      </x:c>
      <x:c r="D39" s="20" t="n">
        <x:v>5</x:v>
      </x:c>
      <x:c r="E39" s="20" t="str">
        <x:v>pin</x:v>
      </x:c>
      <x:c r="F39" s="22"/>
      <x:c r="G39" s="20" t="str">
        <x:v>Issued strip price not recorded</x:v>
      </x:c>
      <x:c r="H39" s="20" t="str">
        <x:v>No spare quantity included</x:v>
      </x:c>
      <x:c r="I39" s="21" t="str">
        <x:f>IF(D39=0,0,IF(ISNUMBER(F39),D39*F39,"Not recorded"))</x:f>
        <x:v>Not recorded</x:v>
      </x:c>
    </x:row>
    <x:row r="40" ht="64" customHeight="1">
      <x:c r="A40" s="20" t="str">
        <x:v>U1</x:v>
      </x:c>
      <x:c r="B40" s="20" t="str">
        <x:v>5 V linear voltage regulator</x:v>
      </x:c>
      <x:c r="C40" s="20" t="str">
        <x:v>Already available</x:v>
      </x:c>
      <x:c r="D40" s="20" t="n">
        <x:v>1</x:v>
      </x:c>
      <x:c r="E40" s="20" t="str">
        <x:v>piece</x:v>
      </x:c>
      <x:c r="F40" s="22" t="n">
        <x:v>1.53</x:v>
      </x:c>
      <x:c r="G40" s="20" t="str">
        <x:v>Reference value retained from supplied BOM</x:v>
      </x:c>
      <x:c r="H40" s="20" t="str">
        <x:v>Already available or class-issued; not a new purchase</x:v>
      </x:c>
      <x:c r="I40" s="21" t="n">
        <x:f>IF(D40=0,0,IF(ISNUMBER(F40),D40*F40,"Not recorded"))</x:f>
        <x:v>1.53</x:v>
      </x:c>
    </x:row>
    <x:row r="41" ht="64" customHeight="1">
      <x:c r="A41" s="20" t="str">
        <x:v>U2</x:v>
      </x:c>
      <x:c r="B41" s="20" t="str">
        <x:v>PIC18F57Q43 Curiosity Nano board</x:v>
      </x:c>
      <x:c r="C41" s="20" t="str">
        <x:v>Confirm class-issued stock</x:v>
      </x:c>
      <x:c r="D41" s="20" t="n">
        <x:v>1</x:v>
      </x:c>
      <x:c r="E41" s="20" t="str">
        <x:v>piece</x:v>
      </x:c>
      <x:c r="F41" s="22" t="n">
        <x:v>10.61</x:v>
      </x:c>
      <x:c r="G41" s="20" t="str">
        <x:v>Reference value retained from supplied BOM</x:v>
      </x:c>
      <x:c r="H41" s="20" t="str">
        <x:v>Already available or class-issued; not a new purchase</x:v>
      </x:c>
      <x:c r="I41" s="21" t="n">
        <x:f>IF(D41=0,0,IF(ISNUMBER(F41),D41*F41,"Not recorded"))</x:f>
        <x:v>10.61</x:v>
      </x:c>
    </x:row>
    <x:row r="42" ht="64" customHeight="1">
      <x:c r="A42" s="20" t="str">
        <x:v>U3</x:v>
      </x:c>
      <x:c r="B42" s="20" t="str">
        <x:v>Quad operational amplifier, PDIP-14</x:v>
      </x:c>
      <x:c r="C42" s="20" t="str">
        <x:v>Already available</x:v>
      </x:c>
      <x:c r="D42" s="20" t="n">
        <x:v>1</x:v>
      </x:c>
      <x:c r="E42" s="20" t="str">
        <x:v>piece</x:v>
      </x:c>
      <x:c r="F42" s="22" t="n">
        <x:v>0.6</x:v>
      </x:c>
      <x:c r="G42" s="20" t="str">
        <x:v>Reference value retained from supplied BOM</x:v>
      </x:c>
      <x:c r="H42" s="20" t="str">
        <x:v>Already available or class-issued; not a new purchase</x:v>
      </x:c>
      <x:c r="I42" s="21" t="n">
        <x:f>IF(D42=0,0,IF(ISNUMBER(F42),D42*F42,"Not recorded"))</x:f>
        <x:v>0.6</x:v>
      </x:c>
    </x:row>
    <x:row r="43" ht="64" customHeight="1">
      <x:c r="A43" s="20" t="str">
        <x:v>External speaker via J5</x:v>
      </x:c>
      <x:c r="B43" s="20" t="str">
        <x:v>Speaker, 8 ohm, 2 W</x:v>
      </x:c>
      <x:c r="C43" s="20" t="str">
        <x:v>Digi-Key</x:v>
      </x:c>
      <x:c r="D43" s="20" t="n">
        <x:v>1</x:v>
      </x:c>
      <x:c r="E43" s="20" t="str">
        <x:v>piece</x:v>
      </x:c>
      <x:c r="F43" s="22" t="n">
        <x:v>2.17</x:v>
      </x:c>
      <x:c r="G43" s="20" t="str">
        <x:v>Quoted replacement part</x:v>
      </x:c>
      <x:c r="H43" s="20" t="str">
        <x:v>No spare quantity included</x:v>
      </x:c>
      <x:c r="I43" s="21" t="n">
        <x:f>IF(D43=0,0,IF(ISNUMBER(F43),D43*F43,"Not recorded"))</x:f>
        <x:v>2.17</x:v>
      </x:c>
    </x:row>
    <x:row r="44" ht="64" customHeight="1">
      <x:c r="A44" s="20" t="str">
        <x:v>U2 mating headers</x:v>
      </x:c>
      <x:c r="B44" s="20" t="str">
        <x:v>Female headers for Curiosity Nano</x:v>
      </x:c>
      <x:c r="C44" s="20" t="str">
        <x:v>Already available</x:v>
      </x:c>
      <x:c r="D44" s="20" t="n">
        <x:v>2</x:v>
      </x:c>
      <x:c r="E44" s="20" t="str">
        <x:v>piece</x:v>
      </x:c>
      <x:c r="F44" s="22"/>
      <x:c r="G44" s="20" t="str">
        <x:v>Unit value not recorded</x:v>
      </x:c>
      <x:c r="H44" s="20" t="str">
        <x:v>Not assumed to have zero replacement value</x:v>
      </x:c>
      <x:c r="I44" s="21" t="str">
        <x:f>IF(D44=0,0,IF(ISNUMBER(F44),D44*F44,"Not recorded"))</x:f>
        <x:v>Not recorded</x:v>
      </x:c>
    </x:row>
    <x:row r="45" ht="64" customHeight="1">
      <x:c r="A45" s="20" t="str">
        <x:v>U1 heatsink</x:v>
      </x:c>
      <x:c r="B45" s="20" t="str">
        <x:v>TO-220 heatsink</x:v>
      </x:c>
      <x:c r="C45" s="20" t="str">
        <x:v>Digi-Key</x:v>
      </x:c>
      <x:c r="D45" s="20" t="n">
        <x:v>1</x:v>
      </x:c>
      <x:c r="E45" s="20" t="str">
        <x:v>piece</x:v>
      </x:c>
      <x:c r="F45" s="22" t="n">
        <x:v>0.68</x:v>
      </x:c>
      <x:c r="G45" s="20" t="str">
        <x:v>Quoted replacement part</x:v>
      </x:c>
      <x:c r="H45" s="20" t="str">
        <x:v>No spare quantity included</x:v>
      </x:c>
      <x:c r="I45" s="21" t="n">
        <x:f>IF(D45=0,0,IF(ISNUMBER(F45),D45*F45,"Not recorded"))</x:f>
        <x:v>0.68</x:v>
      </x:c>
    </x:row>
    <x:row r="46" ht="64" customHeight="1">
      <x:c r="A46" s="20" t="str">
        <x:v>U3 socket</x:v>
      </x:c>
      <x:c r="B46" s="20" t="str">
        <x:v>DIP-14 IC socket</x:v>
      </x:c>
      <x:c r="C46" s="20" t="str">
        <x:v>Peralta / PRLTA</x:v>
      </x:c>
      <x:c r="D46" s="20" t="n">
        <x:v>1</x:v>
      </x:c>
      <x:c r="E46" s="20" t="str">
        <x:v>piece</x:v>
      </x:c>
      <x:c r="F46" s="22"/>
      <x:c r="G46" s="20" t="str">
        <x:v>Actual stock price not recorded</x:v>
      </x:c>
      <x:c r="H46" s="20" t="str">
        <x:v>Former Digi-Key candidate price is not treated as the issued-part price</x:v>
      </x:c>
      <x:c r="I46" s="21" t="str">
        <x:f>IF(D46=0,0,IF(ISNUMBER(F46),D46*F46,"Not recorded"))</x:f>
        <x:v>Not recorded</x:v>
      </x:c>
    </x:row>
    <x:row r="47" ht="64" customHeight="1">
      <x:c r="A47" s="20" t="str">
        <x:v>J4 LCD male header</x:v>
      </x:c>
      <x:c r="B47" s="20" t="str">
        <x:v>LCD male pin header, 1 x 16</x:v>
      </x:c>
      <x:c r="C47" s="20" t="str">
        <x:v>Peralta / PRLTA</x:v>
      </x:c>
      <x:c r="D47" s="20" t="n">
        <x:v>16</x:v>
      </x:c>
      <x:c r="E47" s="20" t="str">
        <x:v>pin</x:v>
      </x:c>
      <x:c r="F47" s="22"/>
      <x:c r="G47" s="20" t="str">
        <x:v>Issued strip price not recorded</x:v>
      </x:c>
      <x:c r="H47" s="20" t="str">
        <x:v>No spare quantity included</x:v>
      </x:c>
      <x:c r="I47" s="21" t="str">
        <x:f>IF(D47=0,0,IF(ISNUMBER(F47),D47*F47,"Not recorded"))</x:f>
        <x:v>Not recorded</x:v>
      </x:c>
    </x:row>
    <x:row r="48" ht="64" customHeight="1">
      <x:c r="A48" s="20" t="str">
        <x:v>J4 PCB socket</x:v>
      </x:c>
      <x:c r="B48" s="20" t="str">
        <x:v>LCD female socket, 1 x 16</x:v>
      </x:c>
      <x:c r="C48" s="20" t="str">
        <x:v>Peralta / PRLTA</x:v>
      </x:c>
      <x:c r="D48" s="20" t="n">
        <x:v>1</x:v>
      </x:c>
      <x:c r="E48" s="20" t="str">
        <x:v>piece</x:v>
      </x:c>
      <x:c r="F48" s="22"/>
      <x:c r="G48" s="20" t="str">
        <x:v>Actual stock price not recorded</x:v>
      </x:c>
      <x:c r="H48" s="20" t="str">
        <x:v>Former Digi-Key candidate price is not treated as the issued-part price</x:v>
      </x:c>
      <x:c r="I48" s="21" t="str">
        <x:f>IF(D48=0,0,IF(ISNUMBER(F48),D48*F48,"Not recorded"))</x:f>
        <x:v>Not recorded</x:v>
      </x:c>
    </x:row>
    <x:row r="49" ht="64" customHeight="1">
      <x:c r="A49" s="20" t="str">
        <x:v>J1 cable</x:v>
      </x:c>
      <x:c r="B49" s="20" t="str">
        <x:v>Ribbon cable assembly, 8 conductors, 2 x 4 IDC ends</x:v>
      </x:c>
      <x:c r="C49" s="20" t="str">
        <x:v>Team purchase</x:v>
      </x:c>
      <x:c r="D49" s="20" t="n">
        <x:v>1</x:v>
      </x:c>
      <x:c r="E49" s="20" t="str">
        <x:v>piece</x:v>
      </x:c>
      <x:c r="F49" s="22"/>
      <x:c r="G49" s="20" t="str">
        <x:v>Unit value not recorded</x:v>
      </x:c>
      <x:c r="H49" s="20" t="str">
        <x:v>Not assumed to have zero replacement value</x:v>
      </x:c>
      <x:c r="I49" s="21" t="str">
        <x:f>IF(D49=0,0,IF(ISNUMBER(F49),D49*F49,"Not recorded"))</x:f>
        <x:v>Not recorded</x:v>
      </x:c>
    </x:row>
    <x:row r="50" ht="64" customHeight="1">
      <x:c r="A50" s="20" t="str">
        <x:v>F1 holder</x:v>
      </x:c>
      <x:c r="B50" s="20" t="str">
        <x:v>PCB fuse holder for 5 x 20 mm fuse</x:v>
      </x:c>
      <x:c r="C50" s="20" t="str">
        <x:v>Peralta / PRLTA</x:v>
      </x:c>
      <x:c r="D50" s="20" t="n">
        <x:v>1</x:v>
      </x:c>
      <x:c r="E50" s="20" t="str">
        <x:v>piece</x:v>
      </x:c>
      <x:c r="F50" s="22"/>
      <x:c r="G50" s="20" t="str">
        <x:v>Actual stock price not recorded</x:v>
      </x:c>
      <x:c r="H50" s="20" t="str">
        <x:v>Former Digi-Key candidate price is not treated as the issued-part price</x:v>
      </x:c>
      <x:c r="I50" s="21" t="str">
        <x:f>IF(D50=0,0,IF(ISNUMBER(F50),D50*F50,"Not recorded"))</x:f>
        <x:v>Not recorded</x:v>
      </x:c>
    </x:row>
    <x:row r="51" ht="64" customHeight="1">
      <x:c r="A51" s="20" t="str">
        <x:v>JP1, JP2 shunts</x:v>
      </x:c>
      <x:c r="B51" s="20" t="str">
        <x:v>Two-pin jumper shunt</x:v>
      </x:c>
      <x:c r="C51" s="20" t="str">
        <x:v>Digi-Key</x:v>
      </x:c>
      <x:c r="D51" s="20" t="n">
        <x:v>2</x:v>
      </x:c>
      <x:c r="E51" s="20" t="str">
        <x:v>piece</x:v>
      </x:c>
      <x:c r="F51" s="22" t="n">
        <x:v>0.1</x:v>
      </x:c>
      <x:c r="G51" s="20" t="str">
        <x:v>Quoted replacement part</x:v>
      </x:c>
      <x:c r="H51" s="20" t="str">
        <x:v>No spare quantity included</x:v>
      </x:c>
      <x:c r="I51" s="21" t="n">
        <x:f>IF(D51=0,0,IF(ISNUMBER(F51),D51*F51,"Not recorded"))</x:f>
        <x:v>0.2</x:v>
      </x:c>
    </x:row>
    <x:row r="52" ht="64" customHeight="1">
      <x:c r="A52" s="20" t="str">
        <x:v>External power adapter</x:v>
      </x:c>
      <x:c r="B52" s="20" t="str">
        <x:v>External wall adapter, 9 V, 3 A</x:v>
      </x:c>
      <x:c r="C52" s="20" t="str">
        <x:v>Class-issued stock (confirm quantity)</x:v>
      </x:c>
      <x:c r="D52" s="20" t="n">
        <x:v>1</x:v>
      </x:c>
      <x:c r="E52" s="20" t="str">
        <x:v>piece</x:v>
      </x:c>
      <x:c r="F52" s="22"/>
      <x:c r="G52" s="20" t="str">
        <x:v>Unit value not recorded</x:v>
      </x:c>
      <x:c r="H52" s="20" t="str">
        <x:v>Not assumed to have zero replacement value</x:v>
      </x:c>
      <x:c r="I52" s="21" t="str">
        <x:f>IF(D52=0,0,IF(ISNUMBER(F52),D52*F52,"Not recorded"))</x:f>
        <x:v>Not recorded</x:v>
      </x:c>
    </x:row>
    <x:row r="53" ht="64" customHeight="1">
      <x:c r="A53" s="20" t="str">
        <x:v>Shared male header stock</x:v>
      </x:c>
      <x:c r="B53" s="20" t="str">
        <x:v>40-pin male header strips for LCD, GPIO, jumpers and test points</x:v>
      </x:c>
      <x:c r="C53" s="20" t="str">
        <x:v>Peralta / PRLTA</x:v>
      </x:c>
      <x:c r="D53" s="20" t="n">
        <x:v>0</x:v>
      </x:c>
      <x:c r="E53" s="20" t="str">
        <x:v>piece</x:v>
      </x:c>
      <x:c r="F53" s="22"/>
      <x:c r="G53" s="20" t="str">
        <x:v>Actual stock price not recorded</x:v>
      </x:c>
      <x:c r="H53" s="20" t="str">
        <x:v>Former Digi-Key candidate price is not treated as the issued-part price</x:v>
      </x:c>
      <x:c r="I53" s="21" t="n">
        <x:f>IF(D53=0,0,IF(ISNUMBER(F53),D53*F53,"Not recorded"))</x:f>
        <x:v>0</x:v>
      </x:c>
    </x:row>
  </x:sheetData>
  <x:mergeCells>
    <x:mergeCell ref="A1:I1"/>
    <x:mergeCell ref="A2:I3"/>
  </x:mergeCells>
  <x:pageMargins left="0.7" right="0.7" top="0.75" bottom="0.75" header="0.3" footer="0.3"/>
</x:worksheet>
</file>