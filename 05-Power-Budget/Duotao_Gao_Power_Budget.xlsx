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100" windowHeight="1608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F8" authorId="0">
      <text>
        <r>
          <rPr>
            <sz val="10"/>
            <rFont val="宋体"/>
            <charset val="134"/>
          </rPr>
          <t>For inductive loads (e.g., motors, solenoids) this is often called "stall current" on the data sheet</t>
        </r>
      </text>
    </comment>
  </commentList>
</comments>
</file>

<file path=xl/sharedStrings.xml><?xml version="1.0" encoding="utf-8"?>
<sst xmlns="http://schemas.openxmlformats.org/spreadsheetml/2006/main" count="98" uniqueCount="59">
  <si>
    <t>Power Budget: User Interface Board</t>
  </si>
  <si>
    <t>Team Number:</t>
  </si>
  <si>
    <t>103</t>
  </si>
  <si>
    <t>Project Name:</t>
  </si>
  <si>
    <t>GripRx</t>
  </si>
  <si>
    <t>Team Member Names:</t>
  </si>
  <si>
    <t>Duotao Gao, Gabriel Toneser Facchin, Zice Sun</t>
  </si>
  <si>
    <t>Version:</t>
  </si>
  <si>
    <t>2 (Duotao Gao, 2026-10-29)</t>
  </si>
  <si>
    <t>A. List all major powered components, excluding power sources, regulators and passive elements.</t>
  </si>
  <si>
    <t>All Major Components</t>
  </si>
  <si>
    <t>Component Name</t>
  </si>
  <si>
    <t>Part Number</t>
  </si>
  <si>
    <t>Supply
Voltage
Range</t>
  </si>
  <si>
    <t>#</t>
  </si>
  <si>
    <t>Maximum
Current
(mA)</t>
  </si>
  <si>
    <t>Total
Current
(mA)</t>
  </si>
  <si>
    <t>Unit</t>
  </si>
  <si>
    <t>PIC18F57Q43 Curiosity Nano (MCU board)</t>
  </si>
  <si>
    <t>DM164150</t>
  </si>
  <si>
    <t>1.8 - 5.5 V</t>
  </si>
  <si>
    <t>mA</t>
  </si>
  <si>
    <t>Character LCD + backlight</t>
  </si>
  <si>
    <t>NHD-0216K1Z-FSW-FBW-L</t>
  </si>
  <si>
    <t>4.5 - 5.5 V</t>
  </si>
  <si>
    <t>Quad op amp + speaker drive</t>
  </si>
  <si>
    <t>MCP6004-I/P</t>
  </si>
  <si>
    <t>1.8 - 6.0 V</t>
  </si>
  <si>
    <t>B. Assign each major component above to ONE power rail below. Try to minimize the number of different power rails in the design. 
Add additional power rails or change the power rail voltages if needed.</t>
  </si>
  <si>
    <t xml:space="preserve"> +5V Power Rail</t>
  </si>
  <si>
    <t>Other small circuit loads</t>
  </si>
  <si>
    <t>LEDs, buttons, pots, bias</t>
  </si>
  <si>
    <t>5 V budget</t>
  </si>
  <si>
    <t xml:space="preserve">Subtotal </t>
  </si>
  <si>
    <t>Safety Margin</t>
  </si>
  <si>
    <t>Total Current Required on +5V Rail</t>
  </si>
  <si>
    <t>c2. Regulator or Source Choice</t>
  </si>
  <si>
    <t xml:space="preserve"> +5V linear regulator</t>
  </si>
  <si>
    <t>L7805ABV-DG</t>
  </si>
  <si>
    <t>7.5 - 18 V</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</si>
  <si>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</si>
  <si>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</si>
  <si>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</si>
  <si>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</si>
  <si>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</si>
  <si>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Absolute
Maximum
Current (mA)</t>
  </si>
  <si>
    <t>Power Source 1 Selection</t>
  </si>
  <si>
    <t>9 V 3 A plug-in wall adapter, issued in class</t>
  </si>
  <si>
    <t>BestCH 9 V 3 A (B09ZTKTLGW)</t>
  </si>
  <si>
    <t>See adapter label</t>
  </si>
  <si>
    <t>Power Rails Connected to External Power Source 1</t>
  </si>
  <si>
    <t>Regulator ground-current allowance</t>
  </si>
  <si>
    <t>9 V input</t>
  </si>
  <si>
    <t>Total Remaining Current Available on External Power Source 1</t>
  </si>
  <si>
    <t>Notes</t>
  </si>
  <si>
    <t>All UI loads use +5 V. The board uses a wall-plug adapter. Battery life is not applicable.</t>
  </si>
  <si>
    <t>Current basis: Nano 350 mA uses the MCU VDD-pin absolute rating (DS40002147D) as the budget limit, not normal board draw. MCP6004 uses the 30 mA output/supply-pin absolute rating (DS20001733L, p. 3). These are stress ratings, not normal operating currents. LCD 23 mA = 3 mA logic + 20 mA backlight maximum. Auxiliary loads total 13.25 mA. Speaker current is supplied by MCP6004 and is not added again.</t>
  </si>
  <si>
    <t>Audio: U3A drives the speaker through C14 (220 uF) and R16 (330 ohm). A 2.5 V excursion / 330 ohm gives about 7.6 mA; a full 5 V excursion gives 15.2 mA. The 30 mA supply-pin rating is counted once for the chip, not four times for its four amplifiers. Confirm actual current and volume during testing.</t>
  </si>
  <si>
    <t>Budget load = 416.25 mA. Including 25% margin = 520.31 mA. Estimated regulator dissipation is about 2.14 W at 9 V input, including a 6 mA ground-current allowance. Provide a suitable heatsink and verify regulator temperature; the 1.5 A rating requires adequate cooling.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</si>
</sst>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quot; V&quot;"/>
  </numFmts>
  <fonts count="29">
    <font>
      <sz val="12"/>
      <color rgb="FF000000"/>
      <name val="Calibri"/>
      <charset val="134"/>
    </font>
    <font>
      <b/>
      <sz val="24"/>
      <color rgb="FF000000"/>
      <name val="Calibri"/>
      <charset val="134"/>
    </font>
    <font>
      <b/>
      <sz val="12"/>
      <color rgb="FF000000"/>
      <name val="Calibri"/>
      <charset val="134"/>
    </font>
    <font>
      <sz val="12"/>
      <name val="Calibri"/>
      <charset val="134"/>
    </font>
    <font>
      <b/>
      <sz val="12"/>
      <color rgb="FF000000"/>
      <name val="Arial"/>
      <charset val="134"/>
    </font>
    <font>
      <b/>
      <i/>
      <sz val="12"/>
      <color rgb="FF000000"/>
      <name val="Arial"/>
      <charset val="134"/>
    </font>
    <font>
      <sz val="12"/>
      <color rgb="FF000000"/>
      <name val="Arial"/>
      <charset val="134"/>
    </font>
    <font>
      <b/>
      <i/>
      <sz val="12"/>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6">
    <fill>
      <patternFill patternType="none"/>
    </fill>
    <fill>
      <patternFill patternType="gray125"/>
    </fill>
    <fill>
      <patternFill patternType="solid">
        <fgColor rgb="FFFFFF00"/>
        <bgColor indexed="64"/>
      </patternFill>
    </fill>
    <fill>
      <patternFill patternType="solid">
        <fgColor rgb="FFEEECE1"/>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6" borderId="14" applyNumberFormat="0" applyAlignment="0" applyProtection="0">
      <alignment vertical="center"/>
    </xf>
    <xf numFmtId="0" fontId="18" fillId="7" borderId="15" applyNumberFormat="0" applyAlignment="0" applyProtection="0">
      <alignment vertical="center"/>
    </xf>
    <xf numFmtId="0" fontId="19" fillId="7" borderId="14" applyNumberFormat="0" applyAlignment="0" applyProtection="0">
      <alignment vertical="center"/>
    </xf>
    <xf numFmtId="0" fontId="20" fillId="8"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0" fillId="0" borderId="0"/>
  </cellStyleXfs>
  <cellXfs count="75">
    <xf numFmtId="0" fontId="0" fillId="0" borderId="0" xfId="49" applyAlignment="1"/>
    <xf numFmtId="0" fontId="0" fillId="0" borderId="0" xfId="49"/>
    <xf numFmtId="0" fontId="1" fillId="0" borderId="0" xfId="49" applyFont="1" applyAlignment="1">
      <alignment horizontal="center"/>
    </xf>
    <xf numFmtId="0" fontId="2" fillId="0" borderId="1" xfId="49" applyFont="1" applyBorder="1"/>
    <xf numFmtId="0" fontId="3" fillId="0" borderId="1" xfId="49" applyFont="1" applyBorder="1"/>
    <xf numFmtId="0" fontId="0" fillId="0" borderId="2" xfId="49" applyBorder="1"/>
    <xf numFmtId="0" fontId="0" fillId="0" borderId="3" xfId="49" applyBorder="1"/>
    <xf numFmtId="0" fontId="4" fillId="0" borderId="1" xfId="49" applyFont="1" applyBorder="1"/>
    <xf numFmtId="0" fontId="2" fillId="0" borderId="0" xfId="49" applyFont="1"/>
    <xf numFmtId="0" fontId="4" fillId="0" borderId="0" xfId="49" applyFont="1"/>
    <xf numFmtId="0" fontId="2" fillId="0" borderId="0" xfId="49" applyFont="1" applyAlignment="1">
      <alignment horizontal="center"/>
    </xf>
    <xf numFmtId="0" fontId="5" fillId="2" borderId="1" xfId="49" applyFont="1" applyFill="1" applyBorder="1" applyAlignment="1">
      <alignment vertical="center" wrapText="1"/>
    </xf>
    <xf numFmtId="0" fontId="4" fillId="3" borderId="4" xfId="49" applyFont="1" applyFill="1" applyBorder="1" applyAlignment="1">
      <alignment horizontal="center" vertical="center" wrapText="1"/>
    </xf>
    <xf numFmtId="0" fontId="2" fillId="3" borderId="2" xfId="49" applyFont="1" applyFill="1" applyBorder="1" applyAlignment="1">
      <alignment horizontal="center" vertical="center" wrapText="1"/>
    </xf>
    <xf numFmtId="0" fontId="4" fillId="3" borderId="2" xfId="49" applyFont="1" applyFill="1" applyBorder="1" applyAlignment="1">
      <alignment horizontal="center" vertical="center" wrapText="1"/>
    </xf>
    <xf numFmtId="0" fontId="4" fillId="3" borderId="5" xfId="49" applyFont="1" applyFill="1" applyBorder="1" applyAlignment="1">
      <alignment horizontal="center" vertical="center" wrapText="1"/>
    </xf>
    <xf numFmtId="0" fontId="0" fillId="0" borderId="6" xfId="49" applyBorder="1"/>
    <xf numFmtId="0" fontId="0" fillId="0" borderId="0" xfId="49" applyNumberFormat="1" applyFont="1" applyFill="1" applyBorder="1" applyAlignment="1">
      <alignment vertical="center" wrapText="1"/>
    </xf>
    <xf numFmtId="0" fontId="6" fillId="0" borderId="0" xfId="49" applyNumberFormat="1" applyFont="1" applyFill="1" applyBorder="1" applyAlignment="1">
      <alignment horizontal="center" vertical="center" wrapText="1"/>
    </xf>
    <xf numFmtId="0" fontId="0" fillId="0" borderId="0" xfId="49" applyNumberFormat="1" applyFont="1" applyFill="1" applyBorder="1" applyAlignment="1">
      <alignment horizontal="center" vertical="center" wrapText="1"/>
    </xf>
    <xf numFmtId="176" fontId="0" fillId="0" borderId="0" xfId="49" applyNumberFormat="1" applyFont="1" applyFill="1" applyBorder="1" applyAlignment="1">
      <alignment vertical="center" wrapText="1"/>
    </xf>
    <xf numFmtId="176" fontId="0" fillId="0" borderId="7" xfId="49" applyNumberFormat="1" applyFont="1" applyFill="1" applyBorder="1" applyAlignment="1">
      <alignment vertical="center" wrapText="1"/>
    </xf>
    <xf numFmtId="0" fontId="6" fillId="0" borderId="7" xfId="49" applyNumberFormat="1" applyFont="1" applyFill="1" applyBorder="1" applyAlignment="1">
      <alignment vertical="center" wrapText="1"/>
    </xf>
    <xf numFmtId="176" fontId="0" fillId="0" borderId="2" xfId="49" applyNumberFormat="1" applyFont="1" applyFill="1" applyBorder="1"/>
    <xf numFmtId="0" fontId="5" fillId="3" borderId="4" xfId="49" applyFont="1" applyFill="1" applyBorder="1" applyAlignment="1">
      <alignment horizontal="center" vertical="center" wrapText="1"/>
    </xf>
    <xf numFmtId="176" fontId="4" fillId="3" borderId="2" xfId="49" applyNumberFormat="1" applyFont="1" applyFill="1" applyBorder="1" applyAlignment="1">
      <alignment horizontal="center" vertical="center" wrapText="1"/>
    </xf>
    <xf numFmtId="176" fontId="4" fillId="3" borderId="1" xfId="49" applyNumberFormat="1" applyFont="1" applyFill="1" applyBorder="1" applyAlignment="1">
      <alignment horizontal="center" vertical="center" wrapText="1"/>
    </xf>
    <xf numFmtId="0" fontId="4" fillId="3" borderId="1" xfId="49" applyFont="1" applyFill="1" applyBorder="1" applyAlignment="1">
      <alignment horizontal="center" vertical="center" wrapText="1"/>
    </xf>
    <xf numFmtId="0" fontId="6" fillId="0" borderId="0" xfId="49" applyNumberFormat="1" applyFont="1" applyFill="1" applyBorder="1" applyAlignment="1">
      <alignment vertical="center" wrapText="1"/>
    </xf>
    <xf numFmtId="176" fontId="6" fillId="0" borderId="0" xfId="49" applyNumberFormat="1" applyFont="1" applyFill="1" applyBorder="1" applyAlignment="1">
      <alignment vertical="center" wrapText="1"/>
    </xf>
    <xf numFmtId="0" fontId="7" fillId="0" borderId="0" xfId="49" applyFont="1" applyAlignment="1">
      <alignment horizontal="right"/>
    </xf>
    <xf numFmtId="176" fontId="0" fillId="0" borderId="0" xfId="49" applyNumberFormat="1" applyFont="1" applyFill="1" applyBorder="1"/>
    <xf numFmtId="176" fontId="0" fillId="0" borderId="7" xfId="49" applyNumberFormat="1" applyFont="1" applyFill="1" applyBorder="1"/>
    <xf numFmtId="0" fontId="6" fillId="0" borderId="7" xfId="49" applyBorder="1"/>
    <xf numFmtId="9" fontId="0" fillId="0" borderId="7" xfId="49" applyNumberFormat="1" applyFont="1" applyFill="1" applyBorder="1"/>
    <xf numFmtId="9" fontId="0" fillId="0" borderId="7" xfId="49" applyNumberFormat="1" applyBorder="1"/>
    <xf numFmtId="0" fontId="7" fillId="0" borderId="6" xfId="49" applyFont="1" applyBorder="1"/>
    <xf numFmtId="0" fontId="5" fillId="0" borderId="0" xfId="49" applyFont="1" applyAlignment="1">
      <alignment horizontal="right"/>
    </xf>
    <xf numFmtId="0" fontId="5" fillId="0" borderId="6" xfId="49" applyFont="1" applyBorder="1" applyAlignment="1">
      <alignment horizontal="left"/>
    </xf>
    <xf numFmtId="0" fontId="6" fillId="0" borderId="0" xfId="49" applyAlignment="1">
      <alignment horizontal="left"/>
    </xf>
    <xf numFmtId="0" fontId="6" fillId="0" borderId="0" xfId="49" applyAlignment="1">
      <alignment horizontal="center"/>
    </xf>
    <xf numFmtId="176" fontId="6" fillId="0" borderId="0" xfId="49" applyNumberFormat="1" applyFont="1" applyFill="1" applyBorder="1" applyAlignment="1">
      <alignment horizontal="right"/>
    </xf>
    <xf numFmtId="176" fontId="0" fillId="0" borderId="7" xfId="49" applyNumberFormat="1" applyFont="1" applyFill="1" applyBorder="1" applyAlignment="1">
      <alignment horizontal="right"/>
    </xf>
    <xf numFmtId="0" fontId="0" fillId="0" borderId="7" xfId="49" applyBorder="1"/>
    <xf numFmtId="0" fontId="5" fillId="0" borderId="6" xfId="49" applyFont="1" applyBorder="1" applyAlignment="1">
      <alignment horizontal="left" vertical="center" wrapText="1"/>
    </xf>
    <xf numFmtId="0" fontId="6" fillId="0" borderId="0" xfId="49" applyAlignment="1">
      <alignment horizontal="left" vertical="center" wrapText="1"/>
    </xf>
    <xf numFmtId="0" fontId="6" fillId="0" borderId="0" xfId="49" applyAlignment="1">
      <alignment horizontal="center" vertical="center" wrapText="1"/>
    </xf>
    <xf numFmtId="176" fontId="6" fillId="0" borderId="0" xfId="49" applyNumberFormat="1" applyFont="1" applyFill="1" applyBorder="1" applyAlignment="1">
      <alignment horizontal="right" vertical="center" wrapText="1"/>
    </xf>
    <xf numFmtId="176" fontId="0" fillId="0" borderId="7" xfId="49" applyNumberFormat="1" applyFont="1" applyFill="1" applyBorder="1" applyAlignment="1">
      <alignment horizontal="right" vertical="center" wrapText="1"/>
    </xf>
    <xf numFmtId="0" fontId="6" fillId="0" borderId="7" xfId="49" applyBorder="1" applyAlignment="1">
      <alignment vertical="center" wrapText="1"/>
    </xf>
    <xf numFmtId="0" fontId="5" fillId="0" borderId="8" xfId="49" applyFont="1" applyBorder="1" applyAlignment="1">
      <alignment horizontal="left"/>
    </xf>
    <xf numFmtId="49" fontId="5" fillId="0" borderId="9" xfId="49" applyNumberFormat="1" applyFont="1" applyBorder="1" applyAlignment="1">
      <alignment horizontal="right"/>
    </xf>
    <xf numFmtId="0" fontId="0" fillId="0" borderId="9" xfId="49" applyBorder="1"/>
    <xf numFmtId="176" fontId="0" fillId="0" borderId="9" xfId="49" applyNumberFormat="1" applyFont="1" applyFill="1" applyBorder="1"/>
    <xf numFmtId="0" fontId="4" fillId="0" borderId="6" xfId="49" applyFont="1" applyBorder="1" applyAlignment="1">
      <alignment horizontal="left"/>
    </xf>
    <xf numFmtId="0" fontId="6" fillId="0" borderId="0" xfId="49" applyNumberFormat="1" applyFont="1" applyFill="1" applyBorder="1" applyAlignment="1">
      <alignment horizontal="left" vertical="center" wrapText="1"/>
    </xf>
    <xf numFmtId="177" fontId="6" fillId="0" borderId="0" xfId="49" applyNumberFormat="1" applyFont="1" applyFill="1" applyBorder="1" applyAlignment="1">
      <alignment horizontal="center" vertical="center" wrapText="1"/>
    </xf>
    <xf numFmtId="176" fontId="6" fillId="0" borderId="7" xfId="49" applyNumberFormat="1" applyFont="1" applyFill="1" applyBorder="1" applyAlignment="1">
      <alignment horizontal="right" vertical="center" wrapText="1"/>
    </xf>
    <xf numFmtId="0" fontId="6" fillId="0" borderId="10" xfId="49" applyNumberFormat="1" applyFont="1" applyFill="1" applyBorder="1" applyAlignment="1">
      <alignment horizontal="left" vertical="center" wrapText="1"/>
    </xf>
    <xf numFmtId="0" fontId="4" fillId="0" borderId="6" xfId="49" applyFont="1" applyBorder="1" applyAlignment="1">
      <alignment horizontal="center"/>
    </xf>
    <xf numFmtId="0" fontId="6" fillId="0" borderId="10" xfId="49" applyBorder="1"/>
    <xf numFmtId="0" fontId="4" fillId="0" borderId="6" xfId="49" applyFont="1" applyBorder="1" applyAlignment="1">
      <alignment horizontal="left" vertical="center" wrapText="1"/>
    </xf>
    <xf numFmtId="0" fontId="6" fillId="0" borderId="0" xfId="49" applyNumberFormat="1" applyFont="1" applyFill="1" applyBorder="1" applyAlignment="1">
      <alignment horizontal="left" wrapText="1"/>
    </xf>
    <xf numFmtId="0" fontId="6" fillId="0" borderId="0" xfId="49" applyNumberFormat="1" applyFont="1" applyFill="1" applyBorder="1" applyAlignment="1">
      <alignment horizontal="center" wrapText="1"/>
    </xf>
    <xf numFmtId="176" fontId="6" fillId="0" borderId="0" xfId="49" applyNumberFormat="1" applyFont="1" applyFill="1" applyBorder="1" applyAlignment="1">
      <alignment horizontal="right" wrapText="1"/>
    </xf>
    <xf numFmtId="176" fontId="0" fillId="0" borderId="7" xfId="49" applyNumberFormat="1" applyFont="1" applyFill="1" applyBorder="1" applyAlignment="1">
      <alignment horizontal="right" wrapText="1"/>
    </xf>
    <xf numFmtId="0" fontId="6" fillId="0" borderId="7" xfId="49" applyNumberFormat="1" applyFont="1" applyFill="1" applyBorder="1" applyAlignment="1">
      <alignment wrapText="1"/>
    </xf>
    <xf numFmtId="49" fontId="5" fillId="0" borderId="0" xfId="49" applyNumberFormat="1" applyFont="1" applyAlignment="1">
      <alignment horizontal="right"/>
    </xf>
    <xf numFmtId="176" fontId="6" fillId="0" borderId="7" xfId="49" applyNumberFormat="1" applyFont="1" applyFill="1" applyBorder="1" applyAlignment="1">
      <alignment horizontal="right"/>
    </xf>
    <xf numFmtId="0" fontId="6" fillId="0" borderId="10" xfId="49" applyBorder="1" applyAlignment="1">
      <alignment horizontal="left"/>
    </xf>
    <xf numFmtId="0" fontId="5" fillId="2" borderId="0" xfId="49" applyFont="1" applyFill="1"/>
    <xf numFmtId="0" fontId="0" fillId="2" borderId="0" xfId="49" applyFill="1"/>
    <xf numFmtId="0" fontId="0" fillId="0" borderId="0" xfId="49" applyNumberFormat="1" applyFont="1" applyFill="1" applyBorder="1" applyAlignment="1">
      <alignment wrapText="1"/>
    </xf>
    <xf numFmtId="0" fontId="6" fillId="4" borderId="0" xfId="49" applyNumberFormat="1" applyFont="1" applyFill="1" applyBorder="1" applyAlignment="1">
      <alignment horizontal="left" vertical="center" wrapText="1"/>
    </xf>
    <xf numFmtId="0" fontId="6" fillId="4"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ont>
        <color rgb="FF000000"/>
      </font>
      <fill>
        <patternFill patternType="solid">
          <bgColor rgb="FFF4CC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tabSelected="1" zoomScale="49" zoomScaleNormal="49" topLeftCell="A6" workbookViewId="0">
      <selection activeCell="O14" sqref="O14"/>
    </sheetView>
  </sheetViews>
  <sheetFormatPr defaultColWidth="13.4411764705882" defaultRowHeight="17.6" outlineLevelCol="7"/>
  <cols>
    <col min="1" max="1" width="31" style="1" customWidth="1"/>
    <col min="2" max="2" width="30" style="1" customWidth="1"/>
    <col min="3" max="3" width="22" style="1" customWidth="1"/>
    <col min="4" max="4" width="11.4411764705882" style="1" customWidth="1"/>
    <col min="5" max="5" width="8" style="1" customWidth="1"/>
    <col min="6" max="7" width="13" style="1" customWidth="1"/>
    <col min="8" max="8" width="9" style="1" customWidth="1"/>
  </cols>
  <sheetData>
    <row r="1" s="1" customFormat="1" ht="30" customHeight="1" spans="1:8">
      <c r="A1" s="2" t="s">
        <v>0</v>
      </c>
    </row>
    <row r="2" s="1" customFormat="1" ht="15" customHeight="1" spans="1:8">
      <c r="A2" s="3" t="s">
        <v>1</v>
      </c>
      <c r="B2" s="4" t="s">
        <v>2</v>
      </c>
      <c r="C2" s="5"/>
      <c r="D2" s="5"/>
      <c r="E2" s="6"/>
    </row>
    <row r="3" s="1" customFormat="1" ht="15" customHeight="1" spans="1:8">
      <c r="A3" s="7" t="s">
        <v>3</v>
      </c>
      <c r="B3" s="3" t="s">
        <v>4</v>
      </c>
      <c r="C3" s="5"/>
      <c r="D3" s="5"/>
      <c r="E3" s="6"/>
      <c r="F3" s="8"/>
      <c r="G3" s="8"/>
      <c r="H3" s="8"/>
    </row>
    <row r="4" s="1" customFormat="1" ht="15" customHeight="1" spans="1:8">
      <c r="A4" s="7" t="s">
        <v>5</v>
      </c>
      <c r="B4" s="3" t="s">
        <v>6</v>
      </c>
      <c r="C4" s="5"/>
      <c r="D4" s="5"/>
      <c r="E4" s="6"/>
      <c r="F4" s="8"/>
      <c r="G4" s="8"/>
      <c r="H4" s="8"/>
    </row>
    <row r="5" s="1" customFormat="1" ht="15" customHeight="1" spans="1:8">
      <c r="A5" s="7" t="s">
        <v>7</v>
      </c>
      <c r="B5" s="3" t="s">
        <v>8</v>
      </c>
      <c r="C5" s="5"/>
      <c r="D5" s="5"/>
      <c r="E5" s="6"/>
      <c r="F5" s="8"/>
      <c r="G5" s="8"/>
      <c r="H5" s="8"/>
    </row>
    <row r="6" s="1" customFormat="1" ht="15" customHeight="1" spans="1:8">
      <c r="A6" s="9"/>
      <c r="B6" s="8"/>
      <c r="C6" s="8"/>
      <c r="D6" s="10"/>
      <c r="E6" s="10"/>
      <c r="F6" s="8"/>
      <c r="G6" s="8"/>
      <c r="H6" s="8"/>
    </row>
    <row r="7" s="1" customFormat="1" ht="30" customHeight="1" spans="1:8">
      <c r="A7" s="11" t="s">
        <v>9</v>
      </c>
      <c r="B7" s="5"/>
      <c r="C7" s="5"/>
      <c r="D7" s="5"/>
      <c r="E7" s="5"/>
      <c r="F7" s="5"/>
      <c r="G7" s="5"/>
      <c r="H7" s="6"/>
    </row>
    <row r="8" s="1" customFormat="1" ht="44" customHeight="1" spans="1:8">
      <c r="A8" s="12" t="s">
        <v>10</v>
      </c>
      <c r="B8" s="13" t="s">
        <v>11</v>
      </c>
      <c r="C8" s="13" t="s">
        <v>12</v>
      </c>
      <c r="D8" s="14" t="s">
        <v>13</v>
      </c>
      <c r="E8" s="14" t="s">
        <v>14</v>
      </c>
      <c r="F8" s="14" t="s">
        <v>15</v>
      </c>
      <c r="G8" s="15" t="s">
        <v>16</v>
      </c>
      <c r="H8" s="15" t="s">
        <v>17</v>
      </c>
    </row>
    <row r="9" s="1" customFormat="1" ht="40" customHeight="1" spans="1:8">
      <c r="A9" s="16"/>
      <c r="B9" s="17" t="s">
        <v>18</v>
      </c>
      <c r="C9" s="17" t="s">
        <v>19</v>
      </c>
      <c r="D9" s="18" t="s">
        <v>20</v>
      </c>
      <c r="E9" s="19">
        <v>1</v>
      </c>
      <c r="F9" s="20">
        <v>350</v>
      </c>
      <c r="G9" s="21">
        <f>E9*F9</f>
        <v>350</v>
      </c>
      <c r="H9" s="22" t="s">
        <v>21</v>
      </c>
    </row>
    <row r="10" s="1" customFormat="1" ht="40" customHeight="1" spans="1:8">
      <c r="A10" s="16"/>
      <c r="B10" s="17" t="s">
        <v>22</v>
      </c>
      <c r="C10" s="17" t="s">
        <v>23</v>
      </c>
      <c r="D10" s="18" t="s">
        <v>24</v>
      </c>
      <c r="E10" s="19">
        <v>1</v>
      </c>
      <c r="F10" s="20">
        <v>23</v>
      </c>
      <c r="G10" s="21">
        <f>E10*F10</f>
        <v>23</v>
      </c>
      <c r="H10" s="22" t="s">
        <v>21</v>
      </c>
    </row>
    <row r="11" s="1" customFormat="1" ht="40" customHeight="1" spans="1:8">
      <c r="A11" s="16"/>
      <c r="B11" s="17" t="s">
        <v>25</v>
      </c>
      <c r="C11" s="17" t="s">
        <v>26</v>
      </c>
      <c r="D11" s="19" t="s">
        <v>27</v>
      </c>
      <c r="E11" s="19">
        <v>1</v>
      </c>
      <c r="F11" s="20">
        <v>30</v>
      </c>
      <c r="G11" s="21">
        <f>E11*F11</f>
        <v>30</v>
      </c>
      <c r="H11" s="22" t="s">
        <v>21</v>
      </c>
    </row>
    <row r="12" s="1" customFormat="1" ht="60" customHeight="1" spans="1:8">
      <c r="A12" s="11" t="s">
        <v>28</v>
      </c>
      <c r="B12" s="5"/>
      <c r="C12" s="5"/>
      <c r="D12" s="5"/>
      <c r="E12" s="5"/>
      <c r="F12" s="23"/>
      <c r="G12" s="23"/>
      <c r="H12" s="6"/>
    </row>
    <row r="13" s="1" customFormat="1" ht="44" customHeight="1" spans="1:8">
      <c r="A13" s="24" t="s">
        <v>29</v>
      </c>
      <c r="B13" s="13" t="s">
        <v>11</v>
      </c>
      <c r="C13" s="13" t="s">
        <v>12</v>
      </c>
      <c r="D13" s="14" t="s">
        <v>13</v>
      </c>
      <c r="E13" s="14" t="s">
        <v>14</v>
      </c>
      <c r="F13" s="25" t="s">
        <v>15</v>
      </c>
      <c r="G13" s="26" t="s">
        <v>16</v>
      </c>
      <c r="H13" s="27" t="s">
        <v>17</v>
      </c>
    </row>
    <row r="14" s="1" customFormat="1" ht="40" customHeight="1" spans="1:8">
      <c r="A14" s="16"/>
      <c r="B14" s="17" t="s">
        <v>18</v>
      </c>
      <c r="C14" s="17" t="s">
        <v>19</v>
      </c>
      <c r="D14" s="19" t="s">
        <v>20</v>
      </c>
      <c r="E14" s="19">
        <v>1</v>
      </c>
      <c r="F14" s="20">
        <f>G9</f>
        <v>350</v>
      </c>
      <c r="G14" s="21">
        <f>E14*F14</f>
        <v>350</v>
      </c>
      <c r="H14" s="22" t="s">
        <v>21</v>
      </c>
    </row>
    <row r="15" s="1" customFormat="1" ht="40" customHeight="1" spans="1:8">
      <c r="A15" s="16"/>
      <c r="B15" s="28" t="s">
        <v>22</v>
      </c>
      <c r="C15" s="28" t="s">
        <v>23</v>
      </c>
      <c r="D15" s="18" t="s">
        <v>24</v>
      </c>
      <c r="E15" s="18">
        <v>1</v>
      </c>
      <c r="F15" s="29">
        <f>G10</f>
        <v>23</v>
      </c>
      <c r="G15" s="21">
        <f>E15*F15</f>
        <v>23</v>
      </c>
      <c r="H15" s="22" t="s">
        <v>21</v>
      </c>
    </row>
    <row r="16" s="1" customFormat="1" ht="40" customHeight="1" spans="1:8">
      <c r="A16" s="16"/>
      <c r="B16" s="17" t="s">
        <v>25</v>
      </c>
      <c r="C16" s="17" t="s">
        <v>26</v>
      </c>
      <c r="D16" s="19" t="s">
        <v>27</v>
      </c>
      <c r="E16" s="19">
        <v>1</v>
      </c>
      <c r="F16" s="20">
        <f>G11</f>
        <v>30</v>
      </c>
      <c r="G16" s="21">
        <f>E16*F16</f>
        <v>30</v>
      </c>
      <c r="H16" s="22" t="s">
        <v>21</v>
      </c>
    </row>
    <row r="17" s="1" customFormat="1" ht="40" customHeight="1" spans="1:8">
      <c r="A17" s="16"/>
      <c r="B17" s="17" t="s">
        <v>30</v>
      </c>
      <c r="C17" s="17" t="s">
        <v>31</v>
      </c>
      <c r="D17" s="19" t="s">
        <v>32</v>
      </c>
      <c r="E17" s="19">
        <v>1</v>
      </c>
      <c r="F17" s="20">
        <v>13.25</v>
      </c>
      <c r="G17" s="21">
        <f>E17*F17</f>
        <v>13.25</v>
      </c>
      <c r="H17" s="22" t="s">
        <v>21</v>
      </c>
    </row>
    <row r="18" s="1" customFormat="1" ht="15" customHeight="1" spans="1:8">
      <c r="A18" s="16"/>
      <c r="B18" s="30" t="s">
        <v>33</v>
      </c>
      <c r="F18" s="31"/>
      <c r="G18" s="32">
        <f>SUM(G14:G17)</f>
        <v>416.25</v>
      </c>
      <c r="H18" s="33" t="s">
        <v>21</v>
      </c>
    </row>
    <row r="19" s="1" customFormat="1" ht="15" customHeight="1" spans="1:8">
      <c r="A19" s="16"/>
      <c r="B19" s="30" t="s">
        <v>34</v>
      </c>
      <c r="F19" s="31"/>
      <c r="G19" s="34">
        <v>0.25</v>
      </c>
      <c r="H19" s="35"/>
    </row>
    <row r="20" s="1" customFormat="1" ht="15" customHeight="1" spans="1:8">
      <c r="A20" s="36"/>
      <c r="B20" s="37" t="s">
        <v>35</v>
      </c>
      <c r="F20" s="31"/>
      <c r="G20" s="32">
        <f>G18*(1+G19)</f>
        <v>520.3125</v>
      </c>
      <c r="H20" s="33" t="s">
        <v>21</v>
      </c>
    </row>
    <row r="21" s="1" customFormat="1" ht="15" customHeight="1" spans="1:8">
      <c r="A21" s="38"/>
      <c r="B21" s="39"/>
      <c r="C21" s="39"/>
      <c r="D21" s="40"/>
      <c r="E21" s="40"/>
      <c r="F21" s="41"/>
      <c r="G21" s="42"/>
      <c r="H21" s="43"/>
    </row>
    <row r="22" s="1" customFormat="1" ht="30" customHeight="1" spans="1:8">
      <c r="A22" s="44" t="s">
        <v>36</v>
      </c>
      <c r="B22" s="45" t="s">
        <v>37</v>
      </c>
      <c r="C22" s="45" t="s">
        <v>38</v>
      </c>
      <c r="D22" s="46" t="s">
        <v>39</v>
      </c>
      <c r="E22" s="46">
        <v>1</v>
      </c>
      <c r="F22" s="47">
        <v>1500</v>
      </c>
      <c r="G22" s="48">
        <f>E22*F22</f>
        <v>1500</v>
      </c>
      <c r="H22" s="49" t="s">
        <v>21</v>
      </c>
    </row>
    <row r="23" s="1" customFormat="1" ht="15" customHeight="1" spans="1:8">
      <c r="A23" s="50"/>
      <c r="B23" s="51" t="s">
        <v>40</v>
      </c>
      <c r="C23" s="52"/>
      <c r="D23" s="52"/>
      <c r="E23" s="52"/>
      <c r="F23" s="53"/>
      <c r="G23" s="42">
        <f>G22-G20</f>
        <v>979.6875</v>
      </c>
      <c r="H23" s="33" t="s">
        <v>21</v>
      </c>
    </row>
    <row r="24" s="1" customFormat="1" ht="45" customHeight="1" spans="1:8">
      <c r="A24" s="11" t="s">
        <v>41</v>
      </c>
      <c r="B24" s="5"/>
      <c r="C24" s="5"/>
      <c r="D24" s="5"/>
      <c r="E24" s="5"/>
      <c r="F24" s="23"/>
      <c r="G24" s="23"/>
      <c r="H24" s="6"/>
    </row>
    <row r="25" s="1" customFormat="1" ht="61" customHeight="1" spans="1:8">
      <c r="A25" s="11" t="s">
        <v>42</v>
      </c>
      <c r="B25" s="5"/>
      <c r="C25" s="5"/>
      <c r="D25" s="5"/>
      <c r="E25" s="5"/>
      <c r="F25" s="23"/>
      <c r="G25" s="23"/>
      <c r="H25" s="6"/>
    </row>
    <row r="26" s="1" customFormat="1" ht="44" customHeight="1" spans="1:8">
      <c r="A26" s="24" t="s">
        <v>43</v>
      </c>
      <c r="B26" s="13" t="s">
        <v>11</v>
      </c>
      <c r="C26" s="13" t="s">
        <v>12</v>
      </c>
      <c r="D26" s="14" t="s">
        <v>13</v>
      </c>
      <c r="E26" s="14" t="s">
        <v>44</v>
      </c>
      <c r="F26" s="25" t="s">
        <v>45</v>
      </c>
      <c r="G26" s="26" t="s">
        <v>16</v>
      </c>
      <c r="H26" s="27" t="s">
        <v>17</v>
      </c>
    </row>
    <row r="27" s="1" customFormat="1" ht="50" customHeight="1" spans="1:8">
      <c r="A27" s="54" t="s">
        <v>46</v>
      </c>
      <c r="B27" s="55" t="s">
        <v>47</v>
      </c>
      <c r="C27" s="18" t="s">
        <v>48</v>
      </c>
      <c r="D27" s="18" t="s">
        <v>49</v>
      </c>
      <c r="E27" s="56">
        <v>9</v>
      </c>
      <c r="F27" s="47">
        <v>3000</v>
      </c>
      <c r="G27" s="57">
        <f>F27</f>
        <v>3000</v>
      </c>
      <c r="H27" s="58" t="s">
        <v>21</v>
      </c>
    </row>
    <row r="28" s="1" customFormat="1" ht="15" customHeight="1" spans="1:8">
      <c r="A28" s="59"/>
      <c r="B28" s="39"/>
      <c r="C28" s="39"/>
      <c r="D28" s="40"/>
      <c r="E28" s="40"/>
      <c r="F28" s="41"/>
      <c r="G28" s="42"/>
      <c r="H28" s="60"/>
    </row>
    <row r="29" s="1" customFormat="1" ht="38" customHeight="1" spans="1:8">
      <c r="A29" s="61" t="s">
        <v>50</v>
      </c>
      <c r="B29" s="62" t="s">
        <v>51</v>
      </c>
      <c r="C29" s="62" t="s">
        <v>38</v>
      </c>
      <c r="D29" s="63" t="s">
        <v>52</v>
      </c>
      <c r="E29" s="63">
        <v>1</v>
      </c>
      <c r="F29" s="64">
        <v>6</v>
      </c>
      <c r="G29" s="65">
        <f>E29*F29</f>
        <v>6</v>
      </c>
      <c r="H29" s="66" t="s">
        <v>21</v>
      </c>
    </row>
    <row r="30" s="1" customFormat="1" ht="38" customHeight="1" spans="1:8">
      <c r="A30" s="16"/>
      <c r="B30" s="62" t="s">
        <v>37</v>
      </c>
      <c r="C30" s="62" t="s">
        <v>38</v>
      </c>
      <c r="D30" s="63" t="s">
        <v>39</v>
      </c>
      <c r="E30" s="63">
        <v>1</v>
      </c>
      <c r="F30" s="64">
        <f>F22</f>
        <v>1500</v>
      </c>
      <c r="G30" s="65">
        <f>E30*F30</f>
        <v>1500</v>
      </c>
      <c r="H30" s="66" t="s">
        <v>21</v>
      </c>
    </row>
    <row r="31" s="1" customFormat="1" ht="15" customHeight="1" spans="1:8">
      <c r="A31" s="59"/>
      <c r="B31" s="67" t="s">
        <v>53</v>
      </c>
      <c r="F31" s="31"/>
      <c r="G31" s="68">
        <f>G27-SUM(G29:G30)</f>
        <v>1494</v>
      </c>
      <c r="H31" s="69" t="s">
        <v>21</v>
      </c>
    </row>
    <row r="32" s="1" customFormat="1" ht="15" customHeight="1" spans="1:8">
      <c r="A32" s="70" t="s">
        <v>54</v>
      </c>
      <c r="G32" s="71"/>
      <c r="H32" s="71"/>
    </row>
    <row r="33" s="1" customFormat="1" ht="30" customHeight="1" spans="1:8">
      <c r="A33" s="28" t="s">
        <v>55</v>
      </c>
      <c r="B33" s="72"/>
      <c r="C33" s="72"/>
      <c r="D33" s="72"/>
      <c r="E33" s="72"/>
      <c r="F33" s="72"/>
      <c r="G33" s="72"/>
      <c r="H33" s="72"/>
    </row>
    <row r="34" s="1" customFormat="1" ht="90" customHeight="1" spans="1:8">
      <c r="A34" s="73" t="s">
        <v>56</v>
      </c>
      <c r="B34" s="72"/>
      <c r="C34" s="72"/>
      <c r="D34" s="72"/>
      <c r="E34" s="72"/>
      <c r="F34" s="72"/>
      <c r="G34" s="72"/>
      <c r="H34" s="72"/>
    </row>
    <row r="35" s="1" customFormat="1" ht="65" customHeight="1" spans="1:8">
      <c r="A35" s="74" t="s">
        <v>57</v>
      </c>
      <c r="B35" s="72"/>
      <c r="C35" s="72"/>
      <c r="D35" s="72"/>
      <c r="E35" s="72"/>
      <c r="F35" s="72"/>
      <c r="G35" s="72"/>
      <c r="H35" s="72"/>
    </row>
    <row r="36" s="1" customFormat="1" ht="65" customHeight="1" spans="1:8">
      <c r="A36" s="74" t="s">
        <v>58</v>
      </c>
      <c r="B36" s="72"/>
      <c r="C36" s="72"/>
      <c r="D36" s="72"/>
      <c r="E36" s="72"/>
      <c r="F36" s="72"/>
      <c r="G36" s="72"/>
      <c r="H36" s="72"/>
    </row>
  </sheetData>
  <mergeCells count="20">
    <mergeCell ref="A1:H1"/>
    <mergeCell ref="B2:E2"/>
    <mergeCell ref="B3:E3"/>
    <mergeCell ref="B4:E4"/>
    <mergeCell ref="B5:E5"/>
    <mergeCell ref="A7:H7"/>
    <mergeCell ref="A12:H12"/>
    <mergeCell ref="B18:F18"/>
    <mergeCell ref="B19:F19"/>
    <mergeCell ref="B20:F20"/>
    <mergeCell ref="B23:F23"/>
    <mergeCell ref="A24:H24"/>
    <mergeCell ref="A25:H25"/>
    <mergeCell ref="B31:F31"/>
    <mergeCell ref="A32:F32"/>
    <mergeCell ref="A33:H33"/>
    <mergeCell ref="A34:H34"/>
    <mergeCell ref="A35:H35"/>
    <mergeCell ref="A36:H36"/>
    <mergeCell ref="A29:A30"/>
  </mergeCells>
  <conditionalFormatting sqref="G23">
    <cfRule type="cellIs" dxfId="0" priority="1" operator="lessThan">
      <formula>0</formula>
    </cfRule>
  </conditionalFormatting>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Power Budget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gaoduotao</cp:lastModifiedBy>
  <dcterms:created xsi:type="dcterms:W3CDTF">2026-10-23T13:10:11Z</dcterms:created>
  <dcterms:modified xsi:type="dcterms:W3CDTF">2026-10-29T09:13:34Z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1C4FF2DAA09D8044AE70E36AB7EB73E1_43</vt:lpwstr>
  </property>
  <property fmtid="{D5CDD505-2E9C-101B-9397-08002B2CF9AE}" pid="3" name="KSOProductBuildVer">
    <vt:lpwstr>2052-12.1.26050.26050</vt:lpwstr>
  </property>
  <property fmtid="{D5CDD505-2E9C-101B-9397-08002B2CF9AE}" pid="4" name="CalculationRule">
    <vt:i4>0</vt:i4>
  </property>
</Properties>
</file>